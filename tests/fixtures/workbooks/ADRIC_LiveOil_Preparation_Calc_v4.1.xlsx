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nocmpsa-my.sharepoint.com/personal/mathif_adnoc_ae/Documents/Desktop/PVT Calculation Sheet/2_Flahs, Recomb Live Oil/"/>
    </mc:Choice>
  </mc:AlternateContent>
  <xr:revisionPtr revIDLastSave="14" documentId="8_{6461554C-0DA7-4408-B423-903A1789C19F}" xr6:coauthVersionLast="47" xr6:coauthVersionMax="47" xr10:uidLastSave="{E6DE086E-06FA-4815-892B-40D4A643DFC9}"/>
  <bookViews>
    <workbookView xWindow="38280" yWindow="2235" windowWidth="29040" windowHeight="15720" xr2:uid="{00000000-000D-0000-FFFF-FFFF00000000}"/>
  </bookViews>
  <sheets>
    <sheet name="Sample_Info" sheetId="1" r:id="rId1"/>
    <sheet name="STO_Composition" sheetId="2" r:id="rId2"/>
    <sheet name="Gas_Composition" sheetId="3" r:id="rId3"/>
    <sheet name="Recombination" sheetId="4" r:id="rId4"/>
    <sheet name="Loading_Volumes" sheetId="5" r:id="rId5"/>
  </sheets>
  <definedNames>
    <definedName name="ActualGOR">Loading_Volumes!$B$47</definedName>
    <definedName name="Fgas">Recombination!$B$29</definedName>
    <definedName name="Foil">Recombination!$B$30</definedName>
    <definedName name="GasChargeVol">Loading_Volumes!$B$32</definedName>
    <definedName name="GOR_input">Recombination!$B$5</definedName>
    <definedName name="GOR_type">Recombination!$B$6</definedName>
    <definedName name="OilChargeVol">Loading_Volumes!$B$22</definedName>
    <definedName name="TargetGOR">Recombination!$B$8</definedName>
    <definedName name="WellstreamMW">Recombination!$B$33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5" l="1"/>
  <c r="B37" i="5"/>
  <c r="B22" i="5"/>
  <c r="B19" i="5"/>
  <c r="B18" i="5"/>
  <c r="B17" i="5"/>
  <c r="B16" i="5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B22" i="4"/>
  <c r="B9" i="4"/>
  <c r="B8" i="4"/>
  <c r="B25" i="4" s="1"/>
  <c r="B26" i="4" s="1"/>
  <c r="J66" i="3"/>
  <c r="J67" i="3" s="1"/>
  <c r="I66" i="3"/>
  <c r="I67" i="3" s="1"/>
  <c r="N65" i="3"/>
  <c r="M65" i="3"/>
  <c r="L65" i="3"/>
  <c r="H87" i="4" s="1"/>
  <c r="K65" i="3"/>
  <c r="F87" i="4" s="1"/>
  <c r="N64" i="3"/>
  <c r="M64" i="3"/>
  <c r="L64" i="3"/>
  <c r="H86" i="4" s="1"/>
  <c r="K64" i="3"/>
  <c r="F86" i="4" s="1"/>
  <c r="N63" i="3"/>
  <c r="M63" i="3"/>
  <c r="L63" i="3"/>
  <c r="H85" i="4" s="1"/>
  <c r="K63" i="3"/>
  <c r="F85" i="4" s="1"/>
  <c r="N62" i="3"/>
  <c r="M62" i="3"/>
  <c r="L62" i="3"/>
  <c r="H84" i="4" s="1"/>
  <c r="K62" i="3"/>
  <c r="F84" i="4" s="1"/>
  <c r="N61" i="3"/>
  <c r="M61" i="3"/>
  <c r="L61" i="3"/>
  <c r="H83" i="4" s="1"/>
  <c r="K61" i="3"/>
  <c r="F83" i="4" s="1"/>
  <c r="N60" i="3"/>
  <c r="M60" i="3"/>
  <c r="L60" i="3"/>
  <c r="H82" i="4" s="1"/>
  <c r="K60" i="3"/>
  <c r="F82" i="4" s="1"/>
  <c r="N59" i="3"/>
  <c r="M59" i="3"/>
  <c r="L59" i="3"/>
  <c r="H81" i="4" s="1"/>
  <c r="K59" i="3"/>
  <c r="F81" i="4" s="1"/>
  <c r="N58" i="3"/>
  <c r="M58" i="3"/>
  <c r="L58" i="3"/>
  <c r="H80" i="4" s="1"/>
  <c r="K58" i="3"/>
  <c r="F80" i="4" s="1"/>
  <c r="N57" i="3"/>
  <c r="M57" i="3"/>
  <c r="L57" i="3"/>
  <c r="H79" i="4" s="1"/>
  <c r="K57" i="3"/>
  <c r="F79" i="4" s="1"/>
  <c r="N56" i="3"/>
  <c r="M56" i="3"/>
  <c r="L56" i="3"/>
  <c r="H78" i="4" s="1"/>
  <c r="K56" i="3"/>
  <c r="F78" i="4" s="1"/>
  <c r="N55" i="3"/>
  <c r="M55" i="3"/>
  <c r="L55" i="3"/>
  <c r="H77" i="4" s="1"/>
  <c r="K55" i="3"/>
  <c r="F77" i="4" s="1"/>
  <c r="N54" i="3"/>
  <c r="M54" i="3"/>
  <c r="L54" i="3"/>
  <c r="H76" i="4" s="1"/>
  <c r="K54" i="3"/>
  <c r="F76" i="4" s="1"/>
  <c r="N53" i="3"/>
  <c r="M53" i="3"/>
  <c r="L53" i="3"/>
  <c r="H75" i="4" s="1"/>
  <c r="K53" i="3"/>
  <c r="F75" i="4" s="1"/>
  <c r="N52" i="3"/>
  <c r="M52" i="3"/>
  <c r="L52" i="3"/>
  <c r="H74" i="4" s="1"/>
  <c r="K52" i="3"/>
  <c r="F74" i="4" s="1"/>
  <c r="N51" i="3"/>
  <c r="M51" i="3"/>
  <c r="L51" i="3"/>
  <c r="H73" i="4" s="1"/>
  <c r="K51" i="3"/>
  <c r="F73" i="4" s="1"/>
  <c r="N50" i="3"/>
  <c r="M50" i="3"/>
  <c r="L50" i="3"/>
  <c r="H72" i="4" s="1"/>
  <c r="K50" i="3"/>
  <c r="F72" i="4" s="1"/>
  <c r="N49" i="3"/>
  <c r="M49" i="3"/>
  <c r="L49" i="3"/>
  <c r="H71" i="4" s="1"/>
  <c r="K49" i="3"/>
  <c r="F71" i="4" s="1"/>
  <c r="N48" i="3"/>
  <c r="M48" i="3"/>
  <c r="L48" i="3"/>
  <c r="H70" i="4" s="1"/>
  <c r="K48" i="3"/>
  <c r="F70" i="4" s="1"/>
  <c r="N47" i="3"/>
  <c r="M47" i="3"/>
  <c r="L47" i="3"/>
  <c r="H69" i="4" s="1"/>
  <c r="K47" i="3"/>
  <c r="F69" i="4" s="1"/>
  <c r="N46" i="3"/>
  <c r="M46" i="3"/>
  <c r="L46" i="3"/>
  <c r="H68" i="4" s="1"/>
  <c r="K46" i="3"/>
  <c r="F68" i="4" s="1"/>
  <c r="N45" i="3"/>
  <c r="M45" i="3"/>
  <c r="L45" i="3"/>
  <c r="H67" i="4" s="1"/>
  <c r="K45" i="3"/>
  <c r="F67" i="4" s="1"/>
  <c r="N44" i="3"/>
  <c r="M44" i="3"/>
  <c r="L44" i="3"/>
  <c r="H66" i="4" s="1"/>
  <c r="K44" i="3"/>
  <c r="F66" i="4" s="1"/>
  <c r="N43" i="3"/>
  <c r="M43" i="3"/>
  <c r="L43" i="3"/>
  <c r="H65" i="4" s="1"/>
  <c r="K43" i="3"/>
  <c r="F65" i="4" s="1"/>
  <c r="N42" i="3"/>
  <c r="M42" i="3"/>
  <c r="L42" i="3"/>
  <c r="H64" i="4" s="1"/>
  <c r="K42" i="3"/>
  <c r="F64" i="4" s="1"/>
  <c r="N41" i="3"/>
  <c r="M41" i="3"/>
  <c r="L41" i="3"/>
  <c r="H63" i="4" s="1"/>
  <c r="K41" i="3"/>
  <c r="F63" i="4" s="1"/>
  <c r="N40" i="3"/>
  <c r="M40" i="3"/>
  <c r="L40" i="3"/>
  <c r="H62" i="4" s="1"/>
  <c r="K40" i="3"/>
  <c r="F62" i="4" s="1"/>
  <c r="M39" i="3"/>
  <c r="N39" i="3" s="1"/>
  <c r="L39" i="3"/>
  <c r="H61" i="4" s="1"/>
  <c r="K39" i="3"/>
  <c r="F61" i="4" s="1"/>
  <c r="M38" i="3"/>
  <c r="N38" i="3" s="1"/>
  <c r="L38" i="3"/>
  <c r="H60" i="4" s="1"/>
  <c r="K38" i="3"/>
  <c r="F60" i="4" s="1"/>
  <c r="N37" i="3"/>
  <c r="M37" i="3"/>
  <c r="L37" i="3"/>
  <c r="H59" i="4" s="1"/>
  <c r="K37" i="3"/>
  <c r="F59" i="4" s="1"/>
  <c r="M36" i="3"/>
  <c r="N36" i="3" s="1"/>
  <c r="L36" i="3"/>
  <c r="H58" i="4" s="1"/>
  <c r="K36" i="3"/>
  <c r="F58" i="4" s="1"/>
  <c r="M35" i="3"/>
  <c r="N35" i="3" s="1"/>
  <c r="L35" i="3"/>
  <c r="H57" i="4" s="1"/>
  <c r="K35" i="3"/>
  <c r="F57" i="4" s="1"/>
  <c r="M34" i="3"/>
  <c r="N34" i="3" s="1"/>
  <c r="L34" i="3"/>
  <c r="H56" i="4" s="1"/>
  <c r="K34" i="3"/>
  <c r="F56" i="4" s="1"/>
  <c r="M33" i="3"/>
  <c r="N33" i="3" s="1"/>
  <c r="L33" i="3"/>
  <c r="H55" i="4" s="1"/>
  <c r="K33" i="3"/>
  <c r="F55" i="4" s="1"/>
  <c r="M32" i="3"/>
  <c r="N32" i="3" s="1"/>
  <c r="L32" i="3"/>
  <c r="H54" i="4" s="1"/>
  <c r="K32" i="3"/>
  <c r="F54" i="4" s="1"/>
  <c r="M31" i="3"/>
  <c r="N31" i="3" s="1"/>
  <c r="L31" i="3"/>
  <c r="H53" i="4" s="1"/>
  <c r="K31" i="3"/>
  <c r="F53" i="4" s="1"/>
  <c r="M30" i="3"/>
  <c r="N30" i="3" s="1"/>
  <c r="L30" i="3"/>
  <c r="H52" i="4" s="1"/>
  <c r="K30" i="3"/>
  <c r="F52" i="4" s="1"/>
  <c r="M29" i="3"/>
  <c r="N29" i="3" s="1"/>
  <c r="L29" i="3"/>
  <c r="H51" i="4" s="1"/>
  <c r="K29" i="3"/>
  <c r="F51" i="4" s="1"/>
  <c r="M28" i="3"/>
  <c r="N28" i="3" s="1"/>
  <c r="L28" i="3"/>
  <c r="H50" i="4" s="1"/>
  <c r="K28" i="3"/>
  <c r="F50" i="4" s="1"/>
  <c r="M27" i="3"/>
  <c r="N27" i="3" s="1"/>
  <c r="L27" i="3"/>
  <c r="H49" i="4" s="1"/>
  <c r="K27" i="3"/>
  <c r="F49" i="4" s="1"/>
  <c r="M26" i="3"/>
  <c r="N26" i="3" s="1"/>
  <c r="L26" i="3"/>
  <c r="H48" i="4" s="1"/>
  <c r="K26" i="3"/>
  <c r="F48" i="4" s="1"/>
  <c r="M25" i="3"/>
  <c r="N25" i="3" s="1"/>
  <c r="L25" i="3"/>
  <c r="H47" i="4" s="1"/>
  <c r="K25" i="3"/>
  <c r="F47" i="4" s="1"/>
  <c r="M24" i="3"/>
  <c r="N24" i="3" s="1"/>
  <c r="L24" i="3"/>
  <c r="H46" i="4" s="1"/>
  <c r="K24" i="3"/>
  <c r="F46" i="4" s="1"/>
  <c r="M23" i="3"/>
  <c r="N23" i="3" s="1"/>
  <c r="L23" i="3"/>
  <c r="H45" i="4" s="1"/>
  <c r="K23" i="3"/>
  <c r="F45" i="4" s="1"/>
  <c r="M22" i="3"/>
  <c r="N22" i="3" s="1"/>
  <c r="L22" i="3"/>
  <c r="H44" i="4" s="1"/>
  <c r="K22" i="3"/>
  <c r="F44" i="4" s="1"/>
  <c r="M21" i="3"/>
  <c r="N21" i="3" s="1"/>
  <c r="L21" i="3"/>
  <c r="H43" i="4" s="1"/>
  <c r="K21" i="3"/>
  <c r="F43" i="4" s="1"/>
  <c r="M20" i="3"/>
  <c r="N20" i="3" s="1"/>
  <c r="L20" i="3"/>
  <c r="H42" i="4" s="1"/>
  <c r="K20" i="3"/>
  <c r="F42" i="4" s="1"/>
  <c r="M19" i="3"/>
  <c r="N19" i="3" s="1"/>
  <c r="L19" i="3"/>
  <c r="H41" i="4" s="1"/>
  <c r="K19" i="3"/>
  <c r="F41" i="4" s="1"/>
  <c r="M18" i="3"/>
  <c r="N18" i="3" s="1"/>
  <c r="L18" i="3"/>
  <c r="H40" i="4" s="1"/>
  <c r="K18" i="3"/>
  <c r="F40" i="4" s="1"/>
  <c r="M17" i="3"/>
  <c r="N17" i="3" s="1"/>
  <c r="L17" i="3"/>
  <c r="H39" i="4" s="1"/>
  <c r="K17" i="3"/>
  <c r="F39" i="4" s="1"/>
  <c r="N16" i="3"/>
  <c r="M16" i="3"/>
  <c r="L16" i="3"/>
  <c r="H38" i="4" s="1"/>
  <c r="K16" i="3"/>
  <c r="F38" i="4" s="1"/>
  <c r="N15" i="3"/>
  <c r="M15" i="3"/>
  <c r="M66" i="3" s="1"/>
  <c r="L15" i="3"/>
  <c r="K15" i="3"/>
  <c r="H7" i="3"/>
  <c r="B7" i="3"/>
  <c r="E7" i="3" s="1"/>
  <c r="E6" i="3"/>
  <c r="B6" i="3"/>
  <c r="E5" i="3"/>
  <c r="J66" i="2"/>
  <c r="J67" i="2" s="1"/>
  <c r="I66" i="2"/>
  <c r="I67" i="2" s="1"/>
  <c r="M65" i="2"/>
  <c r="N65" i="2" s="1"/>
  <c r="L65" i="2"/>
  <c r="I87" i="4" s="1"/>
  <c r="K65" i="2"/>
  <c r="G87" i="4" s="1"/>
  <c r="L87" i="4" s="1"/>
  <c r="M87" i="4" s="1"/>
  <c r="M64" i="2"/>
  <c r="N64" i="2" s="1"/>
  <c r="L64" i="2"/>
  <c r="I86" i="4" s="1"/>
  <c r="K64" i="2"/>
  <c r="G86" i="4" s="1"/>
  <c r="L86" i="4" s="1"/>
  <c r="M86" i="4" s="1"/>
  <c r="M63" i="2"/>
  <c r="N63" i="2" s="1"/>
  <c r="L63" i="2"/>
  <c r="I85" i="4" s="1"/>
  <c r="K63" i="2"/>
  <c r="G85" i="4" s="1"/>
  <c r="L85" i="4" s="1"/>
  <c r="M85" i="4" s="1"/>
  <c r="M62" i="2"/>
  <c r="N62" i="2" s="1"/>
  <c r="L62" i="2"/>
  <c r="I84" i="4" s="1"/>
  <c r="K62" i="2"/>
  <c r="G84" i="4" s="1"/>
  <c r="L84" i="4" s="1"/>
  <c r="M84" i="4" s="1"/>
  <c r="M61" i="2"/>
  <c r="N61" i="2" s="1"/>
  <c r="L61" i="2"/>
  <c r="I83" i="4" s="1"/>
  <c r="K61" i="2"/>
  <c r="G83" i="4" s="1"/>
  <c r="L83" i="4" s="1"/>
  <c r="M83" i="4" s="1"/>
  <c r="M60" i="2"/>
  <c r="N60" i="2" s="1"/>
  <c r="L60" i="2"/>
  <c r="I82" i="4" s="1"/>
  <c r="K60" i="2"/>
  <c r="G82" i="4" s="1"/>
  <c r="L82" i="4" s="1"/>
  <c r="M82" i="4" s="1"/>
  <c r="M59" i="2"/>
  <c r="N59" i="2" s="1"/>
  <c r="L59" i="2"/>
  <c r="I81" i="4" s="1"/>
  <c r="K59" i="2"/>
  <c r="G81" i="4" s="1"/>
  <c r="L81" i="4" s="1"/>
  <c r="M81" i="4" s="1"/>
  <c r="M58" i="2"/>
  <c r="N58" i="2" s="1"/>
  <c r="L58" i="2"/>
  <c r="I80" i="4" s="1"/>
  <c r="K58" i="2"/>
  <c r="G80" i="4" s="1"/>
  <c r="L80" i="4" s="1"/>
  <c r="M80" i="4" s="1"/>
  <c r="M57" i="2"/>
  <c r="N57" i="2" s="1"/>
  <c r="L57" i="2"/>
  <c r="I79" i="4" s="1"/>
  <c r="K57" i="2"/>
  <c r="G79" i="4" s="1"/>
  <c r="L79" i="4" s="1"/>
  <c r="M79" i="4" s="1"/>
  <c r="M56" i="2"/>
  <c r="N56" i="2" s="1"/>
  <c r="L56" i="2"/>
  <c r="I78" i="4" s="1"/>
  <c r="K56" i="2"/>
  <c r="G78" i="4" s="1"/>
  <c r="L78" i="4" s="1"/>
  <c r="M78" i="4" s="1"/>
  <c r="M55" i="2"/>
  <c r="N55" i="2" s="1"/>
  <c r="L55" i="2"/>
  <c r="I77" i="4" s="1"/>
  <c r="K55" i="2"/>
  <c r="G77" i="4" s="1"/>
  <c r="L77" i="4" s="1"/>
  <c r="M77" i="4" s="1"/>
  <c r="M54" i="2"/>
  <c r="N54" i="2" s="1"/>
  <c r="L54" i="2"/>
  <c r="I76" i="4" s="1"/>
  <c r="K54" i="2"/>
  <c r="G76" i="4" s="1"/>
  <c r="L76" i="4" s="1"/>
  <c r="M76" i="4" s="1"/>
  <c r="M53" i="2"/>
  <c r="N53" i="2" s="1"/>
  <c r="L53" i="2"/>
  <c r="I75" i="4" s="1"/>
  <c r="K53" i="2"/>
  <c r="G75" i="4" s="1"/>
  <c r="L75" i="4" s="1"/>
  <c r="M75" i="4" s="1"/>
  <c r="M52" i="2"/>
  <c r="N52" i="2" s="1"/>
  <c r="L52" i="2"/>
  <c r="I74" i="4" s="1"/>
  <c r="K52" i="2"/>
  <c r="G74" i="4" s="1"/>
  <c r="L74" i="4" s="1"/>
  <c r="M74" i="4" s="1"/>
  <c r="M51" i="2"/>
  <c r="N51" i="2" s="1"/>
  <c r="L51" i="2"/>
  <c r="I73" i="4" s="1"/>
  <c r="K51" i="2"/>
  <c r="G73" i="4" s="1"/>
  <c r="L73" i="4" s="1"/>
  <c r="M73" i="4" s="1"/>
  <c r="M50" i="2"/>
  <c r="N50" i="2" s="1"/>
  <c r="L50" i="2"/>
  <c r="I72" i="4" s="1"/>
  <c r="K50" i="2"/>
  <c r="G72" i="4" s="1"/>
  <c r="L72" i="4" s="1"/>
  <c r="M72" i="4" s="1"/>
  <c r="M49" i="2"/>
  <c r="N49" i="2" s="1"/>
  <c r="L49" i="2"/>
  <c r="I71" i="4" s="1"/>
  <c r="K49" i="2"/>
  <c r="G71" i="4" s="1"/>
  <c r="L71" i="4" s="1"/>
  <c r="M71" i="4" s="1"/>
  <c r="M48" i="2"/>
  <c r="N48" i="2" s="1"/>
  <c r="L48" i="2"/>
  <c r="I70" i="4" s="1"/>
  <c r="K48" i="2"/>
  <c r="G70" i="4" s="1"/>
  <c r="L70" i="4" s="1"/>
  <c r="M70" i="4" s="1"/>
  <c r="M47" i="2"/>
  <c r="N47" i="2" s="1"/>
  <c r="L47" i="2"/>
  <c r="I69" i="4" s="1"/>
  <c r="K47" i="2"/>
  <c r="G69" i="4" s="1"/>
  <c r="L69" i="4" s="1"/>
  <c r="M69" i="4" s="1"/>
  <c r="M46" i="2"/>
  <c r="N46" i="2" s="1"/>
  <c r="L46" i="2"/>
  <c r="I68" i="4" s="1"/>
  <c r="K46" i="2"/>
  <c r="G68" i="4" s="1"/>
  <c r="L68" i="4" s="1"/>
  <c r="M68" i="4" s="1"/>
  <c r="M45" i="2"/>
  <c r="N45" i="2" s="1"/>
  <c r="L45" i="2"/>
  <c r="I67" i="4" s="1"/>
  <c r="K45" i="2"/>
  <c r="G67" i="4" s="1"/>
  <c r="L67" i="4" s="1"/>
  <c r="M67" i="4" s="1"/>
  <c r="M44" i="2"/>
  <c r="N44" i="2" s="1"/>
  <c r="L44" i="2"/>
  <c r="I66" i="4" s="1"/>
  <c r="K44" i="2"/>
  <c r="G66" i="4" s="1"/>
  <c r="L66" i="4" s="1"/>
  <c r="M66" i="4" s="1"/>
  <c r="M43" i="2"/>
  <c r="N43" i="2" s="1"/>
  <c r="L43" i="2"/>
  <c r="I65" i="4" s="1"/>
  <c r="K43" i="2"/>
  <c r="G65" i="4" s="1"/>
  <c r="L65" i="4" s="1"/>
  <c r="M65" i="4" s="1"/>
  <c r="M42" i="2"/>
  <c r="N42" i="2" s="1"/>
  <c r="L42" i="2"/>
  <c r="I64" i="4" s="1"/>
  <c r="K42" i="2"/>
  <c r="G64" i="4" s="1"/>
  <c r="L64" i="4" s="1"/>
  <c r="M64" i="4" s="1"/>
  <c r="M41" i="2"/>
  <c r="N41" i="2" s="1"/>
  <c r="L41" i="2"/>
  <c r="I63" i="4" s="1"/>
  <c r="K41" i="2"/>
  <c r="G63" i="4" s="1"/>
  <c r="L63" i="4" s="1"/>
  <c r="M63" i="4" s="1"/>
  <c r="M40" i="2"/>
  <c r="N40" i="2" s="1"/>
  <c r="L40" i="2"/>
  <c r="I62" i="4" s="1"/>
  <c r="K40" i="2"/>
  <c r="G62" i="4" s="1"/>
  <c r="L62" i="4" s="1"/>
  <c r="M62" i="4" s="1"/>
  <c r="M39" i="2"/>
  <c r="N39" i="2" s="1"/>
  <c r="L39" i="2"/>
  <c r="I61" i="4" s="1"/>
  <c r="K39" i="2"/>
  <c r="G61" i="4" s="1"/>
  <c r="L61" i="4" s="1"/>
  <c r="M61" i="4" s="1"/>
  <c r="M38" i="2"/>
  <c r="N38" i="2" s="1"/>
  <c r="L38" i="2"/>
  <c r="I60" i="4" s="1"/>
  <c r="K38" i="2"/>
  <c r="G60" i="4" s="1"/>
  <c r="L60" i="4" s="1"/>
  <c r="M60" i="4" s="1"/>
  <c r="M37" i="2"/>
  <c r="N37" i="2" s="1"/>
  <c r="L37" i="2"/>
  <c r="I59" i="4" s="1"/>
  <c r="K37" i="2"/>
  <c r="G59" i="4" s="1"/>
  <c r="L59" i="4" s="1"/>
  <c r="M59" i="4" s="1"/>
  <c r="M36" i="2"/>
  <c r="N36" i="2" s="1"/>
  <c r="L36" i="2"/>
  <c r="I58" i="4" s="1"/>
  <c r="K36" i="2"/>
  <c r="G58" i="4" s="1"/>
  <c r="L58" i="4" s="1"/>
  <c r="M58" i="4" s="1"/>
  <c r="M35" i="2"/>
  <c r="N35" i="2" s="1"/>
  <c r="L35" i="2"/>
  <c r="I57" i="4" s="1"/>
  <c r="K35" i="2"/>
  <c r="G57" i="4" s="1"/>
  <c r="L57" i="4" s="1"/>
  <c r="M57" i="4" s="1"/>
  <c r="M34" i="2"/>
  <c r="N34" i="2" s="1"/>
  <c r="L34" i="2"/>
  <c r="I56" i="4" s="1"/>
  <c r="K34" i="2"/>
  <c r="G56" i="4" s="1"/>
  <c r="L56" i="4" s="1"/>
  <c r="M56" i="4" s="1"/>
  <c r="M33" i="2"/>
  <c r="N33" i="2" s="1"/>
  <c r="L33" i="2"/>
  <c r="I55" i="4" s="1"/>
  <c r="K33" i="2"/>
  <c r="G55" i="4" s="1"/>
  <c r="L55" i="4" s="1"/>
  <c r="M55" i="4" s="1"/>
  <c r="M32" i="2"/>
  <c r="N32" i="2" s="1"/>
  <c r="L32" i="2"/>
  <c r="I54" i="4" s="1"/>
  <c r="K32" i="2"/>
  <c r="G54" i="4" s="1"/>
  <c r="L54" i="4" s="1"/>
  <c r="M54" i="4" s="1"/>
  <c r="M31" i="2"/>
  <c r="N31" i="2" s="1"/>
  <c r="L31" i="2"/>
  <c r="I53" i="4" s="1"/>
  <c r="K31" i="2"/>
  <c r="G53" i="4" s="1"/>
  <c r="L53" i="4" s="1"/>
  <c r="M53" i="4" s="1"/>
  <c r="M30" i="2"/>
  <c r="N30" i="2" s="1"/>
  <c r="L30" i="2"/>
  <c r="I52" i="4" s="1"/>
  <c r="K30" i="2"/>
  <c r="G52" i="4" s="1"/>
  <c r="L52" i="4" s="1"/>
  <c r="M52" i="4" s="1"/>
  <c r="M29" i="2"/>
  <c r="N29" i="2" s="1"/>
  <c r="L29" i="2"/>
  <c r="I51" i="4" s="1"/>
  <c r="K29" i="2"/>
  <c r="G51" i="4" s="1"/>
  <c r="L51" i="4" s="1"/>
  <c r="M51" i="4" s="1"/>
  <c r="M28" i="2"/>
  <c r="N28" i="2" s="1"/>
  <c r="L28" i="2"/>
  <c r="I50" i="4" s="1"/>
  <c r="K28" i="2"/>
  <c r="G50" i="4" s="1"/>
  <c r="L50" i="4" s="1"/>
  <c r="M50" i="4" s="1"/>
  <c r="M27" i="2"/>
  <c r="N27" i="2" s="1"/>
  <c r="L27" i="2"/>
  <c r="I49" i="4" s="1"/>
  <c r="K27" i="2"/>
  <c r="G49" i="4" s="1"/>
  <c r="L49" i="4" s="1"/>
  <c r="M49" i="4" s="1"/>
  <c r="M26" i="2"/>
  <c r="N26" i="2" s="1"/>
  <c r="L26" i="2"/>
  <c r="I48" i="4" s="1"/>
  <c r="K26" i="2"/>
  <c r="G48" i="4" s="1"/>
  <c r="L48" i="4" s="1"/>
  <c r="M48" i="4" s="1"/>
  <c r="M25" i="2"/>
  <c r="N25" i="2" s="1"/>
  <c r="L25" i="2"/>
  <c r="I47" i="4" s="1"/>
  <c r="K25" i="2"/>
  <c r="G47" i="4" s="1"/>
  <c r="L47" i="4" s="1"/>
  <c r="M47" i="4" s="1"/>
  <c r="N24" i="2"/>
  <c r="M24" i="2"/>
  <c r="L24" i="2"/>
  <c r="I46" i="4" s="1"/>
  <c r="K24" i="2"/>
  <c r="G46" i="4" s="1"/>
  <c r="L46" i="4" s="1"/>
  <c r="M46" i="4" s="1"/>
  <c r="M23" i="2"/>
  <c r="N23" i="2" s="1"/>
  <c r="L23" i="2"/>
  <c r="I45" i="4" s="1"/>
  <c r="K23" i="2"/>
  <c r="G45" i="4" s="1"/>
  <c r="L45" i="4" s="1"/>
  <c r="M45" i="4" s="1"/>
  <c r="M22" i="2"/>
  <c r="N22" i="2" s="1"/>
  <c r="L22" i="2"/>
  <c r="I44" i="4" s="1"/>
  <c r="K22" i="2"/>
  <c r="G44" i="4" s="1"/>
  <c r="L44" i="4" s="1"/>
  <c r="M44" i="4" s="1"/>
  <c r="M21" i="2"/>
  <c r="N21" i="2" s="1"/>
  <c r="L21" i="2"/>
  <c r="I43" i="4" s="1"/>
  <c r="K21" i="2"/>
  <c r="G43" i="4" s="1"/>
  <c r="L43" i="4" s="1"/>
  <c r="M43" i="4" s="1"/>
  <c r="M20" i="2"/>
  <c r="N20" i="2" s="1"/>
  <c r="L20" i="2"/>
  <c r="I42" i="4" s="1"/>
  <c r="K20" i="2"/>
  <c r="G42" i="4" s="1"/>
  <c r="L42" i="4" s="1"/>
  <c r="M42" i="4" s="1"/>
  <c r="N19" i="2"/>
  <c r="M19" i="2"/>
  <c r="L19" i="2"/>
  <c r="I41" i="4" s="1"/>
  <c r="K19" i="2"/>
  <c r="G41" i="4" s="1"/>
  <c r="L41" i="4" s="1"/>
  <c r="M41" i="4" s="1"/>
  <c r="N18" i="2"/>
  <c r="M18" i="2"/>
  <c r="L18" i="2"/>
  <c r="I40" i="4" s="1"/>
  <c r="K18" i="2"/>
  <c r="G40" i="4" s="1"/>
  <c r="L40" i="4" s="1"/>
  <c r="M40" i="4" s="1"/>
  <c r="N17" i="2"/>
  <c r="M17" i="2"/>
  <c r="L17" i="2"/>
  <c r="I39" i="4" s="1"/>
  <c r="K17" i="2"/>
  <c r="G39" i="4" s="1"/>
  <c r="L39" i="4" s="1"/>
  <c r="M39" i="4" s="1"/>
  <c r="N16" i="2"/>
  <c r="M16" i="2"/>
  <c r="L16" i="2"/>
  <c r="I38" i="4" s="1"/>
  <c r="K16" i="2"/>
  <c r="G38" i="4" s="1"/>
  <c r="L38" i="4" s="1"/>
  <c r="M38" i="4" s="1"/>
  <c r="N15" i="2"/>
  <c r="M15" i="2"/>
  <c r="M66" i="2" s="1"/>
  <c r="L15" i="2"/>
  <c r="K15" i="2"/>
  <c r="E9" i="2"/>
  <c r="B9" i="2"/>
  <c r="H8" i="2"/>
  <c r="E8" i="2"/>
  <c r="B8" i="2"/>
  <c r="E7" i="2"/>
  <c r="B7" i="2"/>
  <c r="E6" i="2"/>
  <c r="H6" i="2" s="1"/>
  <c r="H5" i="2"/>
  <c r="B10" i="4" l="1"/>
  <c r="H7" i="2"/>
  <c r="H9" i="2"/>
  <c r="G37" i="4"/>
  <c r="K66" i="2"/>
  <c r="I37" i="4"/>
  <c r="I88" i="4" s="1"/>
  <c r="L66" i="2"/>
  <c r="B11" i="4"/>
  <c r="H6" i="3"/>
  <c r="B8" i="3"/>
  <c r="F37" i="4"/>
  <c r="F88" i="4" s="1"/>
  <c r="K66" i="3"/>
  <c r="H37" i="4"/>
  <c r="H88" i="4" s="1"/>
  <c r="L66" i="3"/>
  <c r="B28" i="5"/>
  <c r="B46" i="5"/>
  <c r="B27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B44" i="5"/>
  <c r="B45" i="5" s="1"/>
  <c r="B47" i="5" s="1"/>
  <c r="B49" i="5" s="1"/>
  <c r="B50" i="5" s="1"/>
  <c r="B31" i="5"/>
  <c r="B23" i="5"/>
  <c r="B24" i="5" s="1"/>
  <c r="B25" i="5" s="1"/>
  <c r="B29" i="4" l="1"/>
  <c r="B28" i="4"/>
  <c r="B29" i="5"/>
  <c r="B30" i="5" s="1"/>
  <c r="B32" i="5" s="1"/>
  <c r="G88" i="4"/>
  <c r="L37" i="4"/>
  <c r="M37" i="4" s="1"/>
  <c r="B35" i="5" l="1"/>
  <c r="B36" i="5"/>
  <c r="B30" i="4"/>
  <c r="J87" i="4" l="1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88" i="4" s="1"/>
  <c r="J89" i="4" s="1"/>
  <c r="B33" i="4"/>
  <c r="B31" i="4"/>
  <c r="B39" i="5"/>
  <c r="B38" i="5"/>
  <c r="B32" i="4" l="1"/>
  <c r="K87" i="4" l="1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88" i="4" s="1"/>
  <c r="K89" i="4" s="1"/>
</calcChain>
</file>

<file path=xl/sharedStrings.xml><?xml version="1.0" encoding="utf-8"?>
<sst xmlns="http://schemas.openxmlformats.org/spreadsheetml/2006/main" count="410" uniqueCount="253">
  <si>
    <t>ADRIC — LIVE OIL PREPARATION CALCULATION (v4.1, MG-0180 methodology, live formulas + physics notes)</t>
  </si>
  <si>
    <t>Recombine STO + Gas at target GOR to prepare live reservoir fluid.  Component properties from Katz-Firoozabadi.</t>
  </si>
  <si>
    <t>BLOCK A — PROJECT &amp; SAMPLE INFORMATION</t>
  </si>
  <si>
    <t>Company / Client</t>
  </si>
  <si>
    <t>ADNOC Onshore</t>
  </si>
  <si>
    <t>Field</t>
  </si>
  <si>
    <t>Upper Zakum</t>
  </si>
  <si>
    <t>Well</t>
  </si>
  <si>
    <t>WELL-X</t>
  </si>
  <si>
    <t>Reservoir</t>
  </si>
  <si>
    <t>Kharaib-2</t>
  </si>
  <si>
    <t>Sample ID</t>
  </si>
  <si>
    <t>SA-372</t>
  </si>
  <si>
    <t>Chamber / Cylinder No.</t>
  </si>
  <si>
    <t>RF1168636</t>
  </si>
  <si>
    <t>Sampling Depth (MD ft)</t>
  </si>
  <si>
    <t>Sampling Date</t>
  </si>
  <si>
    <t>2026-04-12</t>
  </si>
  <si>
    <t>Fluid Type</t>
  </si>
  <si>
    <t>Black Oil</t>
  </si>
  <si>
    <t>Project No.</t>
  </si>
  <si>
    <t>ADRIC-PVT-2026-014</t>
  </si>
  <si>
    <t>BLOCK B — FLUID &amp; RESERVOIR DATA</t>
  </si>
  <si>
    <t>Reservoir Pressure (psig)</t>
  </si>
  <si>
    <t>Reservoir Temperature (°F)</t>
  </si>
  <si>
    <t>Bubble Point (psig)</t>
  </si>
  <si>
    <t>Density @ Psat (g/cc)</t>
  </si>
  <si>
    <t>Field GOR (scf/STB)</t>
  </si>
  <si>
    <t>Stock Tank API (°)</t>
  </si>
  <si>
    <t>BLOCK C — PREPARATION TEAM</t>
  </si>
  <si>
    <t>Analyst</t>
  </si>
  <si>
    <t>M. Athif</t>
  </si>
  <si>
    <t>Reviewer</t>
  </si>
  <si>
    <t>Approver</t>
  </si>
  <si>
    <t>Preparation Date</t>
  </si>
  <si>
    <t>2026-07-04</t>
  </si>
  <si>
    <t>STOCK TANK OIL — COMPOSITION &amp; PROPERTIES (to C36+, Katz-Firoozabadi reference)</t>
  </si>
  <si>
    <t>KF properties (MW, Density, Tb, Pc, Tc) are LOCKED grey — reference values. C36+ MW (D65) stays editable (yellow) as it varies per sample. Enter Mol% and Wt% from GC in the yellow columns.</t>
  </si>
  <si>
    <t>STO PROPERTIES (Reported by lab)</t>
  </si>
  <si>
    <t>STO Density @ 60°F reported (g/cc)</t>
  </si>
  <si>
    <t>Water Content (vol%)</t>
  </si>
  <si>
    <t>API Gravity</t>
  </si>
  <si>
    <t>STO MW reported (g/mol)</t>
  </si>
  <si>
    <t>Calc'd Density from Wt% (ideal mix)</t>
  </si>
  <si>
    <t>Density Consistency %</t>
  </si>
  <si>
    <t>Calc'd MW from Mol% (Σx·MW/Σx)</t>
  </si>
  <si>
    <t>Calc'd MW from Wt% (100/Σ(w/MW))</t>
  </si>
  <si>
    <t>MW Consistency %</t>
  </si>
  <si>
    <t>C7+ MW (g/mol)</t>
  </si>
  <si>
    <t>C11+ MW (g/mol)</t>
  </si>
  <si>
    <t>C36+ MW (g/mol)</t>
  </si>
  <si>
    <t>Mol%↔Wt% max cross-check dev (%)</t>
  </si>
  <si>
    <t>Water QC</t>
  </si>
  <si>
    <t>Overall STO QC</t>
  </si>
  <si>
    <t>COMPOSITION TO C36+ — KF Reference Properties are locked (grey). Enter Mol% and Wt% in yellow. C36+ MW (D65) is editable.</t>
  </si>
  <si>
    <t>#</t>
  </si>
  <si>
    <t>Code</t>
  </si>
  <si>
    <t>Component</t>
  </si>
  <si>
    <t>MW (g/mol)</t>
  </si>
  <si>
    <t>Density (g/cc)</t>
  </si>
  <si>
    <t>Tb (°R)</t>
  </si>
  <si>
    <t>Pc (psia)</t>
  </si>
  <si>
    <t>Tc (°R)</t>
  </si>
  <si>
    <t>Mol% (INPUT)</t>
  </si>
  <si>
    <t>Wt% (INPUT)</t>
  </si>
  <si>
    <t>Norm Mol% (calc)</t>
  </si>
  <si>
    <t>Norm Wt% (calc)</t>
  </si>
  <si>
    <t>Calc'd Wt% from Mol%</t>
  </si>
  <si>
    <t>Dev (%)</t>
  </si>
  <si>
    <t>H2</t>
  </si>
  <si>
    <t>Hydrogen</t>
  </si>
  <si>
    <t>H2S</t>
  </si>
  <si>
    <t>Hydrogen Sulfide</t>
  </si>
  <si>
    <t>CO2</t>
  </si>
  <si>
    <t>Carbon Dioxide</t>
  </si>
  <si>
    <t>N2</t>
  </si>
  <si>
    <t>Nitrogen</t>
  </si>
  <si>
    <t>C1</t>
  </si>
  <si>
    <t>Methane</t>
  </si>
  <si>
    <t>C2</t>
  </si>
  <si>
    <t>Ethane</t>
  </si>
  <si>
    <t>C3</t>
  </si>
  <si>
    <t>Propane</t>
  </si>
  <si>
    <t>iC4</t>
  </si>
  <si>
    <t>i-Butane</t>
  </si>
  <si>
    <t>nC4</t>
  </si>
  <si>
    <t>n-Butane</t>
  </si>
  <si>
    <t>Neo-C5</t>
  </si>
  <si>
    <t>Neo-Pentane</t>
  </si>
  <si>
    <t>iC5</t>
  </si>
  <si>
    <t>i-Pentane</t>
  </si>
  <si>
    <t>nC5</t>
  </si>
  <si>
    <t>n-Pentane</t>
  </si>
  <si>
    <t>C6</t>
  </si>
  <si>
    <t>Hexanes</t>
  </si>
  <si>
    <t>MCP</t>
  </si>
  <si>
    <t>M-C-Pentane</t>
  </si>
  <si>
    <t>Benzene</t>
  </si>
  <si>
    <t>Cyclohex</t>
  </si>
  <si>
    <t>Cyclohexane</t>
  </si>
  <si>
    <t>C7</t>
  </si>
  <si>
    <t>Heptanes</t>
  </si>
  <si>
    <t>MCH</t>
  </si>
  <si>
    <t>M-C-Hexane</t>
  </si>
  <si>
    <t>Toluene</t>
  </si>
  <si>
    <t>C8</t>
  </si>
  <si>
    <t>Octanes</t>
  </si>
  <si>
    <t>E-Benzene</t>
  </si>
  <si>
    <t>M/P-Xylene</t>
  </si>
  <si>
    <t>O-Xylene</t>
  </si>
  <si>
    <t>C9</t>
  </si>
  <si>
    <t>Nonanes</t>
  </si>
  <si>
    <t>C10</t>
  </si>
  <si>
    <t>Decanes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</si>
  <si>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</si>
  <si>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</si>
  <si>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</si>
  <si>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</si>
  <si>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</si>
  <si>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</si>
  <si>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</si>
  <si>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</si>
  <si>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</si>
  <si>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</si>
  <si>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</si>
  <si>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</si>
  <si>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</si>
  <si>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</si>
  <si>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</si>
  <si>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</si>
  <si>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</si>
  <si>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</si>
  <si>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</si>
  <si>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</si>
  <si>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</si>
  <si>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</si>
  <si>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</si>
  <si>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</si>
  <si>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</si>
  <si>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C36+</t>
  </si>
  <si>
    <t>TOTAL</t>
  </si>
  <si>
    <t>Total QC</t>
  </si>
  <si>
    <t>PHYSICS NOTE — WHAT CHANGES WHEN AN MW CHANGES</t>
  </si>
  <si>
    <t>Changing an MW (e.g., C36+ MW in D65) does NOT change Norm Mol% (column K) or Norm Wt% (column L) — those depend only on your GC input columns I (Mol%) and J (Wt%).</t>
  </si>
  <si>
    <t>The 'Calc'd Wt% from Mol%' (column M) IS a QC cross-check: it recomputes Wt% from Mol% and the current MW set. If M diverges from your input Wt% J, the Dev% (N) grows — a signal that your MW set is inconsistent with the reported composition.</t>
  </si>
  <si>
    <t>This is by design and is mass-conservation correct. If the lab updates C36+ MW, also request updated GC-reported Mol% and Wt% so all three stay consistent.</t>
  </si>
  <si>
    <t>SEPARATOR GAS — COMPOSITION &amp; PROPERTIES (to C36+, Katz-Firoozabadi reference)</t>
  </si>
  <si>
    <t>KF properties (MW, Density, Tb, Pc, Tc) are LOCKED grey — reference values. C36+ MW (D65) stays editable (yellow). Enter Mol% and Wt% from gas GC in the yellow columns.</t>
  </si>
  <si>
    <t>GAS PROPERTIES (Reported by lab)</t>
  </si>
  <si>
    <t>Gas MW reported (g/mol)</t>
  </si>
  <si>
    <t>Gas Gravity (γg vs air)</t>
  </si>
  <si>
    <t>Gas Analysis Method</t>
  </si>
  <si>
    <t>GPA 2286</t>
  </si>
  <si>
    <t>Calc'd MW from Mol%</t>
  </si>
  <si>
    <t>Calc'd MW from Wt%</t>
  </si>
  <si>
    <t>Calc'd Gas Density @ STC (g/cc)</t>
  </si>
  <si>
    <t>Gas Density @ STC (kg/m³)</t>
  </si>
  <si>
    <t>Mol%↔Wt% max dev %</t>
  </si>
  <si>
    <t>Overall Gas QC</t>
  </si>
  <si>
    <t>RECOMBINATION — WELLSTREAM COMPOSITION &amp; K-VALUE VALIDATION</t>
  </si>
  <si>
    <t>MG-0180 method. K_i = y_i (gas mol%) / x_i (STO mol%). Hoffman F factor &amp; log10(K·P) for equilibrium QC. All live formulas.</t>
  </si>
  <si>
    <t>BLOCK A — INPUTS</t>
  </si>
  <si>
    <t>GOR (scf/STB)</t>
  </si>
  <si>
    <t>GOR Type</t>
  </si>
  <si>
    <t>Separator</t>
  </si>
  <si>
    <t>Shrinkage Factor B_st (Stock Tank mode only)</t>
  </si>
  <si>
    <t>Effective GOR (scf/STB)</t>
  </si>
  <si>
    <t>STO Density @ 60°F (linked)</t>
  </si>
  <si>
    <t>STO MW (linked, calc'd from Mol%)</t>
  </si>
  <si>
    <t>Gas MW (linked, calc'd from Mol%)</t>
  </si>
  <si>
    <t>Z at Standard Conditions</t>
  </si>
  <si>
    <t>Separator Pressure (psia)  [for K-value plot]</t>
  </si>
  <si>
    <t>Separator Temperature (°F)  [for Hoffman F]</t>
  </si>
  <si>
    <t>BLOCK B — CONSTANTS (do not edit)</t>
  </si>
  <si>
    <t>R (psia·cc/mol·K)</t>
  </si>
  <si>
    <t>T_std (K)  [60 °F]</t>
  </si>
  <si>
    <t>P_std (psia)  [14.73]</t>
  </si>
  <si>
    <t>scf → cc conversion</t>
  </si>
  <si>
    <t>STB → cc conversion</t>
  </si>
  <si>
    <t>Separator T (°R)  [T_F+459.67]</t>
  </si>
  <si>
    <t>BLOCK C — MOLE &amp; MASS FRACTION CALCULATIONS</t>
  </si>
  <si>
    <t>GOR (cc/cc)</t>
  </si>
  <si>
    <t>n_gas per cc STO (mol/cc)</t>
  </si>
  <si>
    <t>n_oil per cc STO (mol/cc)</t>
  </si>
  <si>
    <t>Mole ratio n_gas / n_oil</t>
  </si>
  <si>
    <t>F_gas (gas mole fraction)</t>
  </si>
  <si>
    <t>F_oil (oil mole fraction)</t>
  </si>
  <si>
    <t>W_gas (gas mass fraction)</t>
  </si>
  <si>
    <t>W_oil (oil mass fraction)</t>
  </si>
  <si>
    <t>Wellstream MW (g/mol)</t>
  </si>
  <si>
    <t>BLOCK D — WELLSTREAM COMPOSITION + K-VALUES (Hoffman F for equilibrium QC)</t>
  </si>
  <si>
    <t>MW</t>
  </si>
  <si>
    <t>Density</t>
  </si>
  <si>
    <t>Gas y_i mol%</t>
  </si>
  <si>
    <t>STO x_i mol%</t>
  </si>
  <si>
    <t>Gas y_i wt%</t>
  </si>
  <si>
    <t>STO x_i wt%</t>
  </si>
  <si>
    <t>z_i mol%</t>
  </si>
  <si>
    <t>z_i wt%</t>
  </si>
  <si>
    <t>K_i = y/x</t>
  </si>
  <si>
    <t>log10(K·P_sep)</t>
  </si>
  <si>
    <t>Hoffman F</t>
  </si>
  <si>
    <t>PHYSICS NOTE — WHY MW CHANGES SHIFT MOL% BUT NOT WT%</t>
  </si>
  <si>
    <t>When any component MW changes (e.g., C36+ MW on STO_Composition!D65):</t>
  </si>
  <si>
    <t>• Wellstream Mol% (column J) SHIFTS because F_gas = n_gas / (n_gas + n_oil), and n_oil = ρ_STO / MW_STO. MW is in the denominator, so mole fractions rebalance.</t>
  </si>
  <si>
    <t>• Wellstream Wt% (column K) DOES NOT SHIFT because mass of oil per cc STO = ρ_STO (fixed), and mass of gas per cc STO = n_gas·MW_gas (depends on GOR only). Mass fractions are conserved regardless of STO MW.</t>
  </si>
  <si>
    <t>This behavior is physically correct — do NOT modify the recombination logic to force z_i wt% to shift with STO MW. That would violate mass conservation.</t>
  </si>
  <si>
    <t>LOADING VOLUMES — CYLINDER CHARGING FOR LIVE OIL PREPARATION</t>
  </si>
  <si>
    <t>MG-0180 method. Change any P or T and the PURPLE charge volumes recalculate live.</t>
  </si>
  <si>
    <t>🟠 AMBER inputs → drive 🟣 OIL charge volume (B22)      |      🟢 TEAL inputs → drive 🟣 GAS charge volume (B32)</t>
  </si>
  <si>
    <t>BLOCK A — LOADING CONDITIONS (Color-coded input groups)</t>
  </si>
  <si>
    <t>Cylinder Volume (cc)</t>
  </si>
  <si>
    <t>Target STO to charge into cylinder AT LOAD P&amp;T (cc)</t>
  </si>
  <si>
    <t>🟠 Oil Loading Pressure (psig)</t>
  </si>
  <si>
    <t>🟠 Oil Loading Temperature (°F)</t>
  </si>
  <si>
    <t>🟢 Gas Loading Pressure (psig)</t>
  </si>
  <si>
    <t>🟢 Gas Loading Temperature (°F)</t>
  </si>
  <si>
    <t>🟢 Z of gas at loading P&amp;T</t>
  </si>
  <si>
    <t>🟠 STO Density at loading P&amp;T (g/cc, measured)</t>
  </si>
  <si>
    <t>BSW / Water content of loaded oil (vol%)</t>
  </si>
  <si>
    <t>BLOCK B — UNIT CONVERSIONS</t>
  </si>
  <si>
    <t>Oil Loading P (psia)</t>
  </si>
  <si>
    <t>Gas Loading P (psia)</t>
  </si>
  <si>
    <t>Oil Loading T (K)</t>
  </si>
  <si>
    <t>Gas Loading T (K)</t>
  </si>
  <si>
    <t>BLOCK C — OIL VOLUME CALCULATIONS</t>
  </si>
  <si>
    <t>🟣 OIL VOLUME TO CHARGE at load P&amp;T (cc)</t>
  </si>
  <si>
    <t>Equivalent STO volume at STC (cc)  [mass conservation]</t>
  </si>
  <si>
    <t>Oil mass (g)</t>
  </si>
  <si>
    <t>Oil moles (mol)</t>
  </si>
  <si>
    <t>BLOCK D — GAS VOLUME CALCULATIONS</t>
  </si>
  <si>
    <t>n_gas per cc STO (linked)</t>
  </si>
  <si>
    <t>Gas moles required (mol)</t>
  </si>
  <si>
    <t>Gas volume at STC (cc)</t>
  </si>
  <si>
    <t>Std cc / cc at loading P&amp;T  [PV=ZnRT ratio]</t>
  </si>
  <si>
    <t>🟣 GAS VOLUME TO CHARGE at load P&amp;T (cc)</t>
  </si>
  <si>
    <t>BLOCK E — LOADING SUMMARY</t>
  </si>
  <si>
    <t>Cylinder mix ratio (V_gas / V_oil at load)</t>
  </si>
  <si>
    <t>Total volume required in cylinder (cc)</t>
  </si>
  <si>
    <t>Cylinder capacity (cc)</t>
  </si>
  <si>
    <t>Fits in cylinder?</t>
  </si>
  <si>
    <t>Cylinder utilization (%)</t>
  </si>
  <si>
    <t>BLOCK F — ACTUAL LOADING RECORD (Enter measured volumes)</t>
  </si>
  <si>
    <t>Actual STO charged at load P&amp;T (cc)</t>
  </si>
  <si>
    <t>Actual Gas charged at load P&amp;T (cc)</t>
  </si>
  <si>
    <t>Actual gas moles</t>
  </si>
  <si>
    <t>Actual gas volume at STC (cc)</t>
  </si>
  <si>
    <t>Actual STO equivalent at STC (cc)</t>
  </si>
  <si>
    <t>Actual GOR (scf/STB)</t>
  </si>
  <si>
    <t>Actual mix ratio (V_gas / V_oil at load)</t>
  </si>
  <si>
    <t>GOR deviation vs Target (%)</t>
  </si>
  <si>
    <t>Loading QC status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</si>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</sst>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0"/>
    <numFmt numFmtId="168" formatCode="0.000000"/>
  </numFmts>
  <fonts count="17" x14ac:knownFonts="1">
    <font>
      <sz val="11"/>
      <color theme="1"/>
      <name val="Calibri"/>
      <family val="2"/>
      <scheme val="minor"/>
    </font>
    <font>
      <b/>
      <sz val="14"/>
      <color rgb="FF003C71"/>
      <name val="Calibri"/>
    </font>
    <font>
      <i/>
      <sz val="9"/>
      <color rgb="FF5A6470"/>
      <name val="Calibri"/>
    </font>
    <font>
      <b/>
      <sz val="12"/>
      <color rgb="FFFFFFFF"/>
      <name val="Calibri"/>
    </font>
    <font>
      <b/>
      <sz val="11"/>
      <color rgb="FF1A2230"/>
      <name val="Calibri"/>
    </font>
    <font>
      <b/>
      <sz val="11"/>
      <color rgb="FF0033A0"/>
      <name val="Calibri"/>
    </font>
    <font>
      <sz val="11"/>
      <color rgb="FF000000"/>
      <name val="Calibri"/>
    </font>
    <font>
      <i/>
      <sz val="11"/>
      <color rgb="FF333333"/>
      <name val="Calibri"/>
    </font>
    <font>
      <b/>
      <sz val="11"/>
      <color rgb="FF003C71"/>
      <name val="Calibri"/>
    </font>
    <font>
      <b/>
      <sz val="12"/>
      <color rgb="FF003C71"/>
      <name val="Calibri"/>
    </font>
    <font>
      <i/>
      <sz val="10"/>
      <color rgb="FF5A6470"/>
      <name val="Calibri"/>
    </font>
    <font>
      <i/>
      <sz val="11"/>
      <color rgb="FF000000"/>
      <name val="Calibri"/>
    </font>
    <font>
      <b/>
      <sz val="10"/>
      <color rgb="FF1A2230"/>
      <name val="Calibri"/>
    </font>
    <font>
      <b/>
      <sz val="11"/>
      <color rgb="FFB45309"/>
      <name val="Calibri"/>
    </font>
    <font>
      <b/>
      <sz val="11"/>
      <color rgb="FF0F766E"/>
      <name val="Calibri"/>
    </font>
    <font>
      <b/>
      <sz val="11"/>
      <color rgb="FF4B0082"/>
      <name val="Calibri"/>
    </font>
    <font>
      <b/>
      <sz val="12"/>
      <color rgb="FF4B008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4"/>
      </patternFill>
    </fill>
    <fill>
      <patternFill patternType="solid">
        <fgColor rgb="FFF2F4F7"/>
      </patternFill>
    </fill>
    <fill>
      <patternFill patternType="solid">
        <fgColor rgb="FFFFF9D6"/>
      </patternFill>
    </fill>
    <fill>
      <patternFill patternType="solid">
        <fgColor rgb="FFEEEEEE"/>
      </patternFill>
    </fill>
    <fill>
      <patternFill patternType="solid">
        <fgColor rgb="FFEAF1FA"/>
      </patternFill>
    </fill>
    <fill>
      <patternFill patternType="solid">
        <fgColor rgb="FFFFF3DF"/>
      </patternFill>
    </fill>
    <fill>
      <patternFill patternType="solid">
        <fgColor rgb="FFFFE9C7"/>
      </patternFill>
    </fill>
    <fill>
      <patternFill patternType="solid">
        <fgColor rgb="FFE4F7F3"/>
      </patternFill>
    </fill>
    <fill>
      <patternFill patternType="solid">
        <fgColor rgb="FFD1F0EA"/>
      </patternFill>
    </fill>
    <fill>
      <patternFill patternType="solid">
        <fgColor rgb="FFEDE4F7"/>
      </patternFill>
    </fill>
    <fill>
      <patternFill patternType="solid">
        <fgColor rgb="FFE1D5F5"/>
      </patternFill>
    </fill>
  </fills>
  <borders count="5">
    <border>
      <left/>
      <right/>
      <top/>
      <bottom/>
      <diagonal/>
    </border>
    <border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  <border>
      <left style="thin">
        <color rgb="FFE08E0B"/>
      </left>
      <right style="thin">
        <color rgb="FFE08E0B"/>
      </right>
      <top style="thin">
        <color rgb="FFE08E0B"/>
      </top>
      <bottom style="thin">
        <color rgb="FFE08E0B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1" fontId="5" fillId="5" borderId="1" xfId="0" applyNumberFormat="1" applyFont="1" applyFill="1" applyBorder="1" applyAlignment="1">
      <alignment horizontal="right" vertical="center" wrapText="1"/>
    </xf>
    <xf numFmtId="164" fontId="5" fillId="5" borderId="1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right" vertical="center" wrapText="1"/>
    </xf>
    <xf numFmtId="165" fontId="7" fillId="6" borderId="1" xfId="0" applyNumberFormat="1" applyFont="1" applyFill="1" applyBorder="1" applyAlignment="1">
      <alignment horizontal="right" vertical="center" wrapText="1"/>
    </xf>
    <xf numFmtId="166" fontId="7" fillId="6" borderId="1" xfId="0" applyNumberFormat="1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7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6" fontId="5" fillId="5" borderId="1" xfId="0" applyNumberFormat="1" applyFont="1" applyFill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165" fontId="11" fillId="7" borderId="1" xfId="0" applyNumberFormat="1" applyFont="1" applyFill="1" applyBorder="1" applyAlignment="1">
      <alignment horizontal="right" vertical="center" wrapText="1"/>
    </xf>
    <xf numFmtId="2" fontId="11" fillId="7" borderId="1" xfId="0" applyNumberFormat="1" applyFont="1" applyFill="1" applyBorder="1" applyAlignment="1">
      <alignment horizontal="right" vertical="center" wrapText="1"/>
    </xf>
    <xf numFmtId="2" fontId="7" fillId="6" borderId="1" xfId="0" applyNumberFormat="1" applyFont="1" applyFill="1" applyBorder="1" applyAlignment="1">
      <alignment horizontal="right" vertical="center" wrapText="1"/>
    </xf>
    <xf numFmtId="168" fontId="6" fillId="0" borderId="1" xfId="0" applyNumberFormat="1" applyFont="1" applyBorder="1" applyAlignment="1">
      <alignment horizontal="righ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164" fontId="11" fillId="7" borderId="1" xfId="0" applyNumberFormat="1" applyFont="1" applyFill="1" applyBorder="1" applyAlignment="1">
      <alignment horizontal="right" vertical="center" wrapText="1"/>
    </xf>
    <xf numFmtId="0" fontId="13" fillId="8" borderId="2" xfId="0" applyFont="1" applyFill="1" applyBorder="1" applyAlignment="1">
      <alignment horizontal="left" vertical="center" wrapText="1"/>
    </xf>
    <xf numFmtId="166" fontId="13" fillId="9" borderId="2" xfId="0" applyNumberFormat="1" applyFont="1" applyFill="1" applyBorder="1" applyAlignment="1">
      <alignment horizontal="right" vertical="center" wrapText="1"/>
    </xf>
    <xf numFmtId="0" fontId="14" fillId="10" borderId="3" xfId="0" applyFont="1" applyFill="1" applyBorder="1" applyAlignment="1">
      <alignment horizontal="left" vertical="center" wrapText="1"/>
    </xf>
    <xf numFmtId="166" fontId="14" fillId="11" borderId="3" xfId="0" applyNumberFormat="1" applyFont="1" applyFill="1" applyBorder="1" applyAlignment="1">
      <alignment horizontal="right" vertical="center" wrapText="1"/>
    </xf>
    <xf numFmtId="165" fontId="14" fillId="11" borderId="3" xfId="0" applyNumberFormat="1" applyFont="1" applyFill="1" applyBorder="1" applyAlignment="1">
      <alignment horizontal="right" vertical="center" wrapText="1"/>
    </xf>
    <xf numFmtId="165" fontId="13" fillId="9" borderId="2" xfId="0" applyNumberFormat="1" applyFont="1" applyFill="1" applyBorder="1" applyAlignment="1">
      <alignment horizontal="right" vertical="center" wrapText="1"/>
    </xf>
    <xf numFmtId="0" fontId="15" fillId="12" borderId="4" xfId="0" applyFont="1" applyFill="1" applyBorder="1" applyAlignment="1">
      <alignment horizontal="left" vertical="center" wrapText="1"/>
    </xf>
    <xf numFmtId="2" fontId="16" fillId="13" borderId="4" xfId="0" applyNumberFormat="1" applyFont="1" applyFill="1" applyBorder="1" applyAlignment="1">
      <alignment horizontal="center" vertical="center" wrapText="1"/>
    </xf>
    <xf numFmtId="168" fontId="11" fillId="7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Hoffman-Crump-Hocott K-Value Plot (Equilibrium QC)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K-value data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Recombination!$N$37:$N$87</c:f>
              <c:numCache>
                <c:formatCode>0.0000</c:formatCode>
                <c:ptCount val="51"/>
                <c:pt idx="0">
                  <c:v>2.7123079874013598</c:v>
                </c:pt>
                <c:pt idx="1">
                  <c:v>1.5239048794039278</c:v>
                </c:pt>
                <c:pt idx="2">
                  <c:v>2.0341935684220216</c:v>
                </c:pt>
                <c:pt idx="3">
                  <c:v>2.9922721994889385</c:v>
                </c:pt>
                <c:pt idx="4">
                  <c:v>2.6054698141330239</c:v>
                </c:pt>
                <c:pt idx="5">
                  <c:v>1.8066698887149206</c:v>
                </c:pt>
                <c:pt idx="6">
                  <c:v>1.2106696588463113</c:v>
                </c:pt>
                <c:pt idx="7">
                  <c:v>0.80307929054033156</c:v>
                </c:pt>
                <c:pt idx="8">
                  <c:v>0.66022625771070442</c:v>
                </c:pt>
                <c:pt idx="9">
                  <c:v>0.71923998573168735</c:v>
                </c:pt>
                <c:pt idx="10">
                  <c:v>0.27386872626756875</c:v>
                </c:pt>
                <c:pt idx="11">
                  <c:v>0.16242826402961702</c:v>
                </c:pt>
                <c:pt idx="12">
                  <c:v>-0.29496587238243344</c:v>
                </c:pt>
                <c:pt idx="13">
                  <c:v>-0.33446107046000373</c:v>
                </c:pt>
                <c:pt idx="14">
                  <c:v>-0.46043608444975737</c:v>
                </c:pt>
                <c:pt idx="15">
                  <c:v>-0.45847310201417862</c:v>
                </c:pt>
                <c:pt idx="16">
                  <c:v>-0.7231719163173318</c:v>
                </c:pt>
                <c:pt idx="17">
                  <c:v>-0.75050678824476524</c:v>
                </c:pt>
                <c:pt idx="18">
                  <c:v>-0.89215247804650255</c:v>
                </c:pt>
                <c:pt idx="19">
                  <c:v>-1.1289079872741656</c:v>
                </c:pt>
                <c:pt idx="20">
                  <c:v>-1.2540559002549254</c:v>
                </c:pt>
                <c:pt idx="21">
                  <c:v>-1.276294580424679</c:v>
                </c:pt>
                <c:pt idx="22">
                  <c:v>-1.3985375068195491</c:v>
                </c:pt>
                <c:pt idx="23">
                  <c:v>-1.5134250930145587</c:v>
                </c:pt>
                <c:pt idx="24">
                  <c:v>-1.8824418405394103</c:v>
                </c:pt>
                <c:pt idx="25">
                  <c:v>-2.2783301178732107</c:v>
                </c:pt>
                <c:pt idx="26">
                  <c:v>-2.6358398367738589</c:v>
                </c:pt>
                <c:pt idx="27">
                  <c:v>-3.0047175402559372</c:v>
                </c:pt>
                <c:pt idx="28">
                  <c:v>-3.3663676448132502</c:v>
                </c:pt>
                <c:pt idx="29">
                  <c:v>-3.7050719958216032</c:v>
                </c:pt>
                <c:pt idx="30">
                  <c:v>-4.0125822114157241</c:v>
                </c:pt>
                <c:pt idx="31">
                  <c:v>-4.2943562707178415</c:v>
                </c:pt>
                <c:pt idx="32">
                  <c:v>-4.6050885055765134</c:v>
                </c:pt>
                <c:pt idx="33">
                  <c:v>-4.8065226823275902</c:v>
                </c:pt>
                <c:pt idx="34">
                  <c:v>-5.033791084857401</c:v>
                </c:pt>
                <c:pt idx="35">
                  <c:v>-5.2112272355718643</c:v>
                </c:pt>
                <c:pt idx="36">
                  <c:v>-5.4271845756563541</c:v>
                </c:pt>
                <c:pt idx="37">
                  <c:v>-5.6243661611701103</c:v>
                </c:pt>
                <c:pt idx="38">
                  <c:v>-5.8157063905426627</c:v>
                </c:pt>
                <c:pt idx="39">
                  <c:v>-6.0049193723947143</c:v>
                </c:pt>
                <c:pt idx="40">
                  <c:v>-6.1956950621702349</c:v>
                </c:pt>
                <c:pt idx="41">
                  <c:v>-6.4259576000031542</c:v>
                </c:pt>
                <c:pt idx="42">
                  <c:v>-6.5257869733309288</c:v>
                </c:pt>
                <c:pt idx="43">
                  <c:v>-6.7357443600563087</c:v>
                </c:pt>
                <c:pt idx="44">
                  <c:v>-6.9069315120309618</c:v>
                </c:pt>
                <c:pt idx="45">
                  <c:v>-7.0076282206363709</c:v>
                </c:pt>
                <c:pt idx="46">
                  <c:v>-7.0865519516706454</c:v>
                </c:pt>
                <c:pt idx="47">
                  <c:v>-7.2712687296783534</c:v>
                </c:pt>
                <c:pt idx="48">
                  <c:v>-7.3606561370718593</c:v>
                </c:pt>
                <c:pt idx="49">
                  <c:v>-7.5255367285123018</c:v>
                </c:pt>
                <c:pt idx="50">
                  <c:v>-9.4068758031784938</c:v>
                </c:pt>
              </c:numCache>
            </c:numRef>
          </c:xVal>
          <c:yVal>
            <c:numRef>
              <c:f>Recombination!$M$37:$M$87</c:f>
              <c:numCache>
                <c:formatCode>0.0000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4.2875420078610764</c:v>
                </c:pt>
                <c:pt idx="6">
                  <c:v>3.1730912597903869</c:v>
                </c:pt>
                <c:pt idx="7">
                  <c:v>2.5602366830311039</c:v>
                </c:pt>
                <c:pt idx="8">
                  <c:v>2.3034449516221085</c:v>
                </c:pt>
                <c:pt idx="9">
                  <c:v>0</c:v>
                </c:pt>
                <c:pt idx="10">
                  <c:v>1.85027192563606</c:v>
                </c:pt>
                <c:pt idx="11">
                  <c:v>1.699439438513725</c:v>
                </c:pt>
                <c:pt idx="12">
                  <c:v>1.2811611170280992</c:v>
                </c:pt>
                <c:pt idx="13">
                  <c:v>1.0761742279383304</c:v>
                </c:pt>
                <c:pt idx="14">
                  <c:v>1.1609957413386478</c:v>
                </c:pt>
                <c:pt idx="15">
                  <c:v>1.2945346497088652</c:v>
                </c:pt>
                <c:pt idx="16">
                  <c:v>0.71863659287819748</c:v>
                </c:pt>
                <c:pt idx="17">
                  <c:v>0.56536986001609535</c:v>
                </c:pt>
                <c:pt idx="18">
                  <c:v>0.87293072283903428</c:v>
                </c:pt>
                <c:pt idx="19">
                  <c:v>0.29872401803282278</c:v>
                </c:pt>
                <c:pt idx="20">
                  <c:v>0.57853130607406633</c:v>
                </c:pt>
                <c:pt idx="21">
                  <c:v>0.31226341666929708</c:v>
                </c:pt>
                <c:pt idx="22">
                  <c:v>0</c:v>
                </c:pt>
                <c:pt idx="23">
                  <c:v>0.15507537434264174</c:v>
                </c:pt>
                <c:pt idx="24">
                  <c:v>-0.38670658766672178</c:v>
                </c:pt>
                <c:pt idx="25">
                  <c:v>-0.35674336428927844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23-4181-99D8-B08FCE527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Hoffman F Factor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log10(K·P_sep)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2266950</xdr:colOff>
      <xdr:row>3</xdr:row>
      <xdr:rowOff>200025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2" topLeftCell="A3" activePane="bottomLeft" state="frozen"/>
      <selection pane="bottomLeft" activeCell="C22" sqref="C22"/>
    </sheetView>
  </sheetViews>
  <sheetFormatPr defaultRowHeight="15" x14ac:dyDescent="0.25"/>
  <cols>
    <col min="1" max="1" width="32" customWidth="1"/>
    <col min="2" max="2" width="22" customWidth="1"/>
    <col min="3" max="3" width="24" customWidth="1"/>
    <col min="4" max="4" width="22" customWidth="1"/>
    <col min="5" max="5" width="24" customWidth="1"/>
    <col min="6" max="6" width="22" customWidth="1"/>
  </cols>
  <sheetData>
    <row r="1" spans="1:6" ht="26.1" customHeight="1" x14ac:dyDescent="0.25">
      <c r="A1" s="41" t="s">
        <v>0</v>
      </c>
      <c r="B1" s="39"/>
      <c r="C1" s="39"/>
      <c r="D1" s="39"/>
      <c r="E1" s="39"/>
      <c r="F1" s="39"/>
    </row>
    <row r="2" spans="1:6" ht="15" customHeight="1" x14ac:dyDescent="0.25">
      <c r="A2" s="40" t="s">
        <v>1</v>
      </c>
      <c r="B2" s="39"/>
      <c r="C2" s="39"/>
      <c r="D2" s="39"/>
      <c r="E2" s="39"/>
      <c r="F2" s="39"/>
    </row>
    <row r="4" spans="1:6" ht="21.95" customHeight="1" x14ac:dyDescent="0.25">
      <c r="A4" s="43" t="s">
        <v>2</v>
      </c>
      <c r="B4" s="39"/>
      <c r="C4" s="39"/>
      <c r="D4" s="39"/>
      <c r="E4" s="39"/>
      <c r="F4" s="39"/>
    </row>
    <row r="5" spans="1:6" x14ac:dyDescent="0.25">
      <c r="A5" s="1" t="s">
        <v>3</v>
      </c>
      <c r="B5" s="2" t="s">
        <v>4</v>
      </c>
      <c r="D5" s="1" t="s">
        <v>5</v>
      </c>
      <c r="E5" s="2" t="s">
        <v>6</v>
      </c>
    </row>
    <row r="6" spans="1:6" x14ac:dyDescent="0.25">
      <c r="A6" s="1" t="s">
        <v>7</v>
      </c>
      <c r="B6" s="2" t="s">
        <v>8</v>
      </c>
      <c r="D6" s="1" t="s">
        <v>9</v>
      </c>
      <c r="E6" s="2" t="s">
        <v>10</v>
      </c>
    </row>
    <row r="7" spans="1:6" ht="30" x14ac:dyDescent="0.25">
      <c r="A7" s="1" t="s">
        <v>11</v>
      </c>
      <c r="B7" s="2" t="s">
        <v>12</v>
      </c>
      <c r="D7" s="1" t="s">
        <v>13</v>
      </c>
      <c r="E7" s="2" t="s">
        <v>14</v>
      </c>
    </row>
    <row r="8" spans="1:6" x14ac:dyDescent="0.25">
      <c r="A8" s="1" t="s">
        <v>15</v>
      </c>
      <c r="B8" s="2">
        <v>9105</v>
      </c>
      <c r="D8" s="1" t="s">
        <v>16</v>
      </c>
      <c r="E8" s="2" t="s">
        <v>17</v>
      </c>
    </row>
    <row r="9" spans="1:6" x14ac:dyDescent="0.25">
      <c r="A9" s="1" t="s">
        <v>18</v>
      </c>
      <c r="B9" s="2" t="s">
        <v>19</v>
      </c>
      <c r="D9" s="1" t="s">
        <v>20</v>
      </c>
      <c r="E9" s="2" t="s">
        <v>21</v>
      </c>
    </row>
    <row r="11" spans="1:6" ht="21.95" customHeight="1" x14ac:dyDescent="0.25">
      <c r="A11" s="43" t="s">
        <v>22</v>
      </c>
      <c r="B11" s="39"/>
      <c r="C11" s="39"/>
      <c r="D11" s="39"/>
      <c r="E11" s="39"/>
      <c r="F11" s="39"/>
    </row>
    <row r="12" spans="1:6" ht="30" x14ac:dyDescent="0.25">
      <c r="A12" s="1" t="s">
        <v>23</v>
      </c>
      <c r="B12" s="3">
        <v>3939</v>
      </c>
      <c r="D12" s="1" t="s">
        <v>24</v>
      </c>
      <c r="E12" s="3">
        <v>256</v>
      </c>
    </row>
    <row r="13" spans="1:6" x14ac:dyDescent="0.25">
      <c r="A13" s="1" t="s">
        <v>25</v>
      </c>
      <c r="B13" s="3">
        <v>1156</v>
      </c>
      <c r="D13" s="1" t="s">
        <v>26</v>
      </c>
      <c r="E13" s="4">
        <v>0.68559999999999999</v>
      </c>
    </row>
    <row r="14" spans="1:6" x14ac:dyDescent="0.25">
      <c r="A14" s="1" t="s">
        <v>27</v>
      </c>
      <c r="B14" s="3">
        <v>985</v>
      </c>
      <c r="D14" s="1" t="s">
        <v>28</v>
      </c>
      <c r="E14" s="4">
        <v>38.200000000000003</v>
      </c>
    </row>
    <row r="16" spans="1:6" ht="21.95" customHeight="1" x14ac:dyDescent="0.25">
      <c r="A16" s="43" t="s">
        <v>29</v>
      </c>
      <c r="B16" s="39"/>
      <c r="C16" s="39"/>
      <c r="D16" s="39"/>
      <c r="E16" s="39"/>
      <c r="F16" s="39"/>
    </row>
    <row r="17" spans="1:5" x14ac:dyDescent="0.25">
      <c r="A17" s="1" t="s">
        <v>30</v>
      </c>
      <c r="B17" s="2" t="s">
        <v>31</v>
      </c>
      <c r="D17" s="1" t="s">
        <v>32</v>
      </c>
      <c r="E17" s="2" t="s">
        <v>252</v>
      </c>
    </row>
    <row r="18" spans="1:5" x14ac:dyDescent="0.25">
      <c r="A18" s="1" t="s">
        <v>33</v>
      </c>
      <c r="B18" s="2" t="s">
        <v>252</v>
      </c>
      <c r="D18" s="1" t="s">
        <v>34</v>
      </c>
      <c r="E18" s="2" t="s">
        <v>35</v>
      </c>
    </row>
  </sheetData>
  <mergeCells count="5">
    <mergeCell ref="A16:F16"/>
    <mergeCell ref="A2:F2"/>
    <mergeCell ref="A11:F11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workbookViewId="0">
      <selection activeCell="G10" sqref="G10"/>
    </sheetView>
  </sheetViews>
  <sheetFormatPr defaultRowHeight="15" x14ac:dyDescent="0.25"/>
  <cols>
    <col min="1" max="1" width="35" customWidth="1"/>
    <col min="2" max="2" width="13" customWidth="1"/>
    <col min="3" max="3" width="20" customWidth="1"/>
    <col min="4" max="4" width="28.140625" customWidth="1"/>
    <col min="5" max="5" width="11" customWidth="1"/>
    <col min="6" max="6" width="10" customWidth="1"/>
    <col min="7" max="7" width="35" customWidth="1"/>
    <col min="8" max="8" width="10" customWidth="1"/>
    <col min="9" max="12" width="12" customWidth="1"/>
    <col min="13" max="13" width="13" customWidth="1"/>
    <col min="14" max="14" width="10" customWidth="1"/>
  </cols>
  <sheetData>
    <row r="1" spans="1:14" ht="26.1" customHeight="1" x14ac:dyDescent="0.25">
      <c r="A1" s="41" t="s">
        <v>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5" customHeight="1" x14ac:dyDescent="0.25">
      <c r="A2" s="40" t="s">
        <v>37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 ht="21.95" customHeight="1" x14ac:dyDescent="0.25">
      <c r="A4" s="43" t="s">
        <v>38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5">
      <c r="A5" s="1" t="s">
        <v>39</v>
      </c>
      <c r="B5" s="5">
        <v>0.8196</v>
      </c>
      <c r="D5" s="1" t="s">
        <v>40</v>
      </c>
      <c r="E5" s="6">
        <v>0.3</v>
      </c>
      <c r="G5" s="1" t="s">
        <v>41</v>
      </c>
      <c r="H5" s="7">
        <f>141.5/B5-131.5</f>
        <v>41.145192776964365</v>
      </c>
    </row>
    <row r="6" spans="1:14" ht="30" x14ac:dyDescent="0.25">
      <c r="A6" s="1" t="s">
        <v>42</v>
      </c>
      <c r="B6" s="6">
        <v>183.66</v>
      </c>
      <c r="D6" s="1" t="s">
        <v>43</v>
      </c>
      <c r="E6" s="8">
        <f>IF(SUM(L15:L65)=0,0,100/SUMPRODUCT(L15:L65,1/E15:E65))</f>
        <v>0.82098398951584783</v>
      </c>
      <c r="G6" s="1" t="s">
        <v>44</v>
      </c>
      <c r="H6" s="7">
        <f>IF(B5=0,0,ABS(B5-E6)/B5*100)</f>
        <v>0.16886158075254254</v>
      </c>
    </row>
    <row r="7" spans="1:14" ht="30" x14ac:dyDescent="0.25">
      <c r="A7" s="1" t="s">
        <v>45</v>
      </c>
      <c r="B7" s="7">
        <f>IF(SUM(K15:K65)=0,0,SUMPRODUCT(D15:D65,K15:K65)/SUM(K15:K65))</f>
        <v>187.05427388983995</v>
      </c>
      <c r="D7" s="1" t="s">
        <v>46</v>
      </c>
      <c r="E7" s="7">
        <f>IF(SUM(L15:L65)=0,0,100/SUMPRODUCT(L15:L65,1/D15:D65))</f>
        <v>186.57764435634823</v>
      </c>
      <c r="G7" s="1" t="s">
        <v>47</v>
      </c>
      <c r="H7" s="7">
        <f>IF(B6=0,0,ABS(B6-B7)/B6*100)</f>
        <v>1.8481290917129214</v>
      </c>
    </row>
    <row r="8" spans="1:14" x14ac:dyDescent="0.25">
      <c r="A8" s="1" t="s">
        <v>48</v>
      </c>
      <c r="B8" s="7">
        <f>IF(SUM(K31:K65)=0,0,SUMPRODUCT(D31:D65,K31:K65)/SUM(K31:K65))</f>
        <v>223.18579248279516</v>
      </c>
      <c r="D8" s="1" t="s">
        <v>49</v>
      </c>
      <c r="E8" s="7">
        <f>IF(SUM(K40:K65)=0,0,SUMPRODUCT(D40:D65,K40:K65)/SUM(K40:K65))</f>
        <v>286.30120481927713</v>
      </c>
      <c r="G8" s="1" t="s">
        <v>50</v>
      </c>
      <c r="H8" s="7">
        <f>D65</f>
        <v>635</v>
      </c>
    </row>
    <row r="9" spans="1:14" ht="30" x14ac:dyDescent="0.25">
      <c r="A9" s="1" t="s">
        <v>51</v>
      </c>
      <c r="B9" s="7">
        <f>MAX(N15:N65)</f>
        <v>4.7383352752907504</v>
      </c>
      <c r="D9" s="1" t="s">
        <v>52</v>
      </c>
      <c r="E9" s="9" t="str">
        <f>IF(E5&lt;=0.5,"PASS","REVIEW")</f>
        <v>PASS</v>
      </c>
      <c r="G9" s="1" t="s">
        <v>53</v>
      </c>
      <c r="H9" s="9" t="str">
        <f>IF(AND(B9&lt;=5,H7&lt;=5,H6&lt;=5),"PASS",IF(AND(B9&lt;=10,H7&lt;=10,H6&lt;=10),"REVIEW","FAIL"))</f>
        <v>PASS</v>
      </c>
    </row>
    <row r="12" spans="1:14" x14ac:dyDescent="0.25">
      <c r="A12" s="43" t="s">
        <v>54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4" spans="1:14" ht="33.950000000000003" customHeight="1" x14ac:dyDescent="0.25">
      <c r="A14" s="10" t="s">
        <v>55</v>
      </c>
      <c r="B14" s="10" t="s">
        <v>56</v>
      </c>
      <c r="C14" s="10" t="s">
        <v>57</v>
      </c>
      <c r="D14" s="10" t="s">
        <v>58</v>
      </c>
      <c r="E14" s="10" t="s">
        <v>59</v>
      </c>
      <c r="F14" s="10" t="s">
        <v>60</v>
      </c>
      <c r="G14" s="10" t="s">
        <v>61</v>
      </c>
      <c r="H14" s="10" t="s">
        <v>62</v>
      </c>
      <c r="I14" s="10" t="s">
        <v>63</v>
      </c>
      <c r="J14" s="10" t="s">
        <v>64</v>
      </c>
      <c r="K14" s="10" t="s">
        <v>65</v>
      </c>
      <c r="L14" s="10" t="s">
        <v>66</v>
      </c>
      <c r="M14" s="10" t="s">
        <v>67</v>
      </c>
      <c r="N14" s="10" t="s">
        <v>68</v>
      </c>
    </row>
    <row r="15" spans="1:14" x14ac:dyDescent="0.25">
      <c r="A15" s="9">
        <v>1</v>
      </c>
      <c r="B15" s="11" t="s">
        <v>69</v>
      </c>
      <c r="C15" s="12" t="s">
        <v>70</v>
      </c>
      <c r="D15" s="13">
        <v>2.016</v>
      </c>
      <c r="E15" s="14">
        <v>7.1099999999999997E-2</v>
      </c>
      <c r="F15" s="15">
        <v>36.700000000000003</v>
      </c>
      <c r="G15" s="15">
        <v>188</v>
      </c>
      <c r="H15" s="15">
        <v>59.4</v>
      </c>
      <c r="I15" s="5">
        <v>0</v>
      </c>
      <c r="J15" s="5">
        <v>0</v>
      </c>
      <c r="K15" s="8">
        <f t="shared" ref="K15:K46" si="0">IF(SUM($I$15:$I$65)=0,0,I15/SUM($I$15:$I$65)*100)</f>
        <v>0</v>
      </c>
      <c r="L15" s="8">
        <f t="shared" ref="L15:L46" si="1">IF(SUM($J$15:$J$65)=0,0,J15/SUM($J$15:$J$65)*100)</f>
        <v>0</v>
      </c>
      <c r="M15" s="8">
        <f t="shared" ref="M15:M46" si="2">IF(SUMPRODUCT($D$15:$D$65,$I$15:$I$65)=0,0,I15*D15/SUMPRODUCT($D$15:$D$65,$I$15:$I$65)*100)</f>
        <v>0</v>
      </c>
      <c r="N15" s="7">
        <f t="shared" ref="N15:N46" si="3">IF(J15=0,0,ABS(M15-J15)/J15*100)</f>
        <v>0</v>
      </c>
    </row>
    <row r="16" spans="1:14" x14ac:dyDescent="0.25">
      <c r="A16" s="9">
        <v>2</v>
      </c>
      <c r="B16" s="11" t="s">
        <v>71</v>
      </c>
      <c r="C16" s="12" t="s">
        <v>72</v>
      </c>
      <c r="D16" s="13">
        <v>34.082000000000001</v>
      </c>
      <c r="E16" s="14">
        <v>0.80059999999999998</v>
      </c>
      <c r="F16" s="15">
        <v>383.1</v>
      </c>
      <c r="G16" s="15">
        <v>1300</v>
      </c>
      <c r="H16" s="15">
        <v>672.4</v>
      </c>
      <c r="I16" s="5">
        <v>0</v>
      </c>
      <c r="J16" s="5">
        <v>0</v>
      </c>
      <c r="K16" s="8">
        <f t="shared" si="0"/>
        <v>0</v>
      </c>
      <c r="L16" s="8">
        <f t="shared" si="1"/>
        <v>0</v>
      </c>
      <c r="M16" s="8">
        <f t="shared" si="2"/>
        <v>0</v>
      </c>
      <c r="N16" s="7">
        <f t="shared" si="3"/>
        <v>0</v>
      </c>
    </row>
    <row r="17" spans="1:14" x14ac:dyDescent="0.25">
      <c r="A17" s="9">
        <v>3</v>
      </c>
      <c r="B17" s="11" t="s">
        <v>73</v>
      </c>
      <c r="C17" s="12" t="s">
        <v>74</v>
      </c>
      <c r="D17" s="13">
        <v>44.01</v>
      </c>
      <c r="E17" s="14">
        <v>0.81799999999999995</v>
      </c>
      <c r="F17" s="15">
        <v>350</v>
      </c>
      <c r="G17" s="15">
        <v>1071</v>
      </c>
      <c r="H17" s="15">
        <v>547.6</v>
      </c>
      <c r="I17" s="5">
        <v>0</v>
      </c>
      <c r="J17" s="5">
        <v>0</v>
      </c>
      <c r="K17" s="8">
        <f t="shared" si="0"/>
        <v>0</v>
      </c>
      <c r="L17" s="8">
        <f t="shared" si="1"/>
        <v>0</v>
      </c>
      <c r="M17" s="8">
        <f t="shared" si="2"/>
        <v>0</v>
      </c>
      <c r="N17" s="7">
        <f t="shared" si="3"/>
        <v>0</v>
      </c>
    </row>
    <row r="18" spans="1:14" x14ac:dyDescent="0.25">
      <c r="A18" s="9">
        <v>4</v>
      </c>
      <c r="B18" s="11" t="s">
        <v>75</v>
      </c>
      <c r="C18" s="12" t="s">
        <v>76</v>
      </c>
      <c r="D18" s="13">
        <v>28.013999999999999</v>
      </c>
      <c r="E18" s="14">
        <v>0.80940000000000001</v>
      </c>
      <c r="F18" s="15">
        <v>139.30000000000001</v>
      </c>
      <c r="G18" s="15">
        <v>493</v>
      </c>
      <c r="H18" s="15">
        <v>227.2</v>
      </c>
      <c r="I18" s="5">
        <v>0</v>
      </c>
      <c r="J18" s="5">
        <v>0</v>
      </c>
      <c r="K18" s="8">
        <f t="shared" si="0"/>
        <v>0</v>
      </c>
      <c r="L18" s="8">
        <f t="shared" si="1"/>
        <v>0</v>
      </c>
      <c r="M18" s="8">
        <f t="shared" si="2"/>
        <v>0</v>
      </c>
      <c r="N18" s="7">
        <f t="shared" si="3"/>
        <v>0</v>
      </c>
    </row>
    <row r="19" spans="1:14" x14ac:dyDescent="0.25">
      <c r="A19" s="9">
        <v>5</v>
      </c>
      <c r="B19" s="11" t="s">
        <v>77</v>
      </c>
      <c r="C19" s="12" t="s">
        <v>78</v>
      </c>
      <c r="D19" s="13">
        <v>16.042999999999999</v>
      </c>
      <c r="E19" s="14">
        <v>0.3</v>
      </c>
      <c r="F19" s="15">
        <v>200.7</v>
      </c>
      <c r="G19" s="15">
        <v>666.4</v>
      </c>
      <c r="H19" s="15">
        <v>343</v>
      </c>
      <c r="I19" s="5">
        <v>0</v>
      </c>
      <c r="J19" s="5">
        <v>0</v>
      </c>
      <c r="K19" s="8">
        <f t="shared" si="0"/>
        <v>0</v>
      </c>
      <c r="L19" s="8">
        <f t="shared" si="1"/>
        <v>0</v>
      </c>
      <c r="M19" s="8">
        <f t="shared" si="2"/>
        <v>0</v>
      </c>
      <c r="N19" s="7">
        <f t="shared" si="3"/>
        <v>0</v>
      </c>
    </row>
    <row r="20" spans="1:14" x14ac:dyDescent="0.25">
      <c r="A20" s="9">
        <v>6</v>
      </c>
      <c r="B20" s="11" t="s">
        <v>79</v>
      </c>
      <c r="C20" s="12" t="s">
        <v>80</v>
      </c>
      <c r="D20" s="13">
        <v>30.07</v>
      </c>
      <c r="E20" s="14">
        <v>0.35620000000000002</v>
      </c>
      <c r="F20" s="15">
        <v>332.2</v>
      </c>
      <c r="G20" s="15">
        <v>706.5</v>
      </c>
      <c r="H20" s="15">
        <v>549.6</v>
      </c>
      <c r="I20" s="5">
        <v>0.18</v>
      </c>
      <c r="J20" s="5">
        <v>0.03</v>
      </c>
      <c r="K20" s="8">
        <f t="shared" si="0"/>
        <v>0.181250629342463</v>
      </c>
      <c r="L20" s="8">
        <f t="shared" si="1"/>
        <v>3.0135610246107485E-2</v>
      </c>
      <c r="M20" s="8">
        <f t="shared" si="2"/>
        <v>2.9137032322167626E-2</v>
      </c>
      <c r="N20" s="7">
        <f t="shared" si="3"/>
        <v>2.8765589261079092</v>
      </c>
    </row>
    <row r="21" spans="1:14" x14ac:dyDescent="0.25">
      <c r="A21" s="9">
        <v>7</v>
      </c>
      <c r="B21" s="11" t="s">
        <v>81</v>
      </c>
      <c r="C21" s="12" t="s">
        <v>82</v>
      </c>
      <c r="D21" s="13">
        <v>44.097000000000001</v>
      </c>
      <c r="E21" s="14">
        <v>0.50700000000000001</v>
      </c>
      <c r="F21" s="15">
        <v>415.9</v>
      </c>
      <c r="G21" s="15">
        <v>616</v>
      </c>
      <c r="H21" s="15">
        <v>665.7</v>
      </c>
      <c r="I21" s="5">
        <v>1.65</v>
      </c>
      <c r="J21" s="5">
        <v>0.4</v>
      </c>
      <c r="K21" s="8">
        <f t="shared" si="0"/>
        <v>1.6614641023059109</v>
      </c>
      <c r="L21" s="8">
        <f t="shared" si="1"/>
        <v>0.40180813661476655</v>
      </c>
      <c r="M21" s="8">
        <f t="shared" si="2"/>
        <v>0.3916808795426473</v>
      </c>
      <c r="N21" s="7">
        <f t="shared" si="3"/>
        <v>2.0797801143381811</v>
      </c>
    </row>
    <row r="22" spans="1:14" x14ac:dyDescent="0.25">
      <c r="A22" s="9">
        <v>8</v>
      </c>
      <c r="B22" s="11" t="s">
        <v>83</v>
      </c>
      <c r="C22" s="12" t="s">
        <v>84</v>
      </c>
      <c r="D22" s="13">
        <v>58.124000000000002</v>
      </c>
      <c r="E22" s="14">
        <v>0.56289999999999996</v>
      </c>
      <c r="F22" s="15">
        <v>470.6</v>
      </c>
      <c r="G22" s="15">
        <v>527.9</v>
      </c>
      <c r="H22" s="15">
        <v>734.1</v>
      </c>
      <c r="I22" s="5">
        <v>1.2</v>
      </c>
      <c r="J22" s="5">
        <v>0.38</v>
      </c>
      <c r="K22" s="8">
        <f t="shared" si="0"/>
        <v>1.2083375289497533</v>
      </c>
      <c r="L22" s="8">
        <f t="shared" si="1"/>
        <v>0.38171772978402824</v>
      </c>
      <c r="M22" s="8">
        <f t="shared" si="2"/>
        <v>0.37547076082333919</v>
      </c>
      <c r="N22" s="7">
        <f t="shared" si="3"/>
        <v>1.1919050464896881</v>
      </c>
    </row>
    <row r="23" spans="1:14" x14ac:dyDescent="0.25">
      <c r="A23" s="9">
        <v>9</v>
      </c>
      <c r="B23" s="11" t="s">
        <v>85</v>
      </c>
      <c r="C23" s="12" t="s">
        <v>86</v>
      </c>
      <c r="D23" s="13">
        <v>58.124000000000002</v>
      </c>
      <c r="E23" s="14">
        <v>0.58399999999999996</v>
      </c>
      <c r="F23" s="15">
        <v>490.7</v>
      </c>
      <c r="G23" s="15">
        <v>550.6</v>
      </c>
      <c r="H23" s="15">
        <v>765.3</v>
      </c>
      <c r="I23" s="5">
        <v>3.98</v>
      </c>
      <c r="J23" s="5">
        <v>1.26</v>
      </c>
      <c r="K23" s="8">
        <f t="shared" si="0"/>
        <v>4.0076528043500153</v>
      </c>
      <c r="L23" s="8">
        <f t="shared" si="1"/>
        <v>1.2656956303365146</v>
      </c>
      <c r="M23" s="8">
        <f t="shared" si="2"/>
        <v>1.2453113567307417</v>
      </c>
      <c r="N23" s="7">
        <f t="shared" si="3"/>
        <v>1.1657653388300269</v>
      </c>
    </row>
    <row r="24" spans="1:14" x14ac:dyDescent="0.25">
      <c r="A24" s="9">
        <v>10</v>
      </c>
      <c r="B24" s="11" t="s">
        <v>87</v>
      </c>
      <c r="C24" s="12" t="s">
        <v>88</v>
      </c>
      <c r="D24" s="13">
        <v>72.150999999999996</v>
      </c>
      <c r="E24" s="14">
        <v>0.59670000000000001</v>
      </c>
      <c r="F24" s="15">
        <v>482.6</v>
      </c>
      <c r="G24" s="15">
        <v>464</v>
      </c>
      <c r="H24" s="15">
        <v>734.6</v>
      </c>
      <c r="I24" s="5">
        <v>0</v>
      </c>
      <c r="J24" s="5">
        <v>0</v>
      </c>
      <c r="K24" s="8">
        <f t="shared" si="0"/>
        <v>0</v>
      </c>
      <c r="L24" s="8">
        <f t="shared" si="1"/>
        <v>0</v>
      </c>
      <c r="M24" s="8">
        <f t="shared" si="2"/>
        <v>0</v>
      </c>
      <c r="N24" s="7">
        <f t="shared" si="3"/>
        <v>0</v>
      </c>
    </row>
    <row r="25" spans="1:14" x14ac:dyDescent="0.25">
      <c r="A25" s="9">
        <v>11</v>
      </c>
      <c r="B25" s="11" t="s">
        <v>89</v>
      </c>
      <c r="C25" s="12" t="s">
        <v>90</v>
      </c>
      <c r="D25" s="13">
        <v>72.150999999999996</v>
      </c>
      <c r="E25" s="14">
        <v>0.62439999999999996</v>
      </c>
      <c r="F25" s="15">
        <v>541.70000000000005</v>
      </c>
      <c r="G25" s="15">
        <v>490.4</v>
      </c>
      <c r="H25" s="15">
        <v>828.7</v>
      </c>
      <c r="I25" s="5">
        <v>2.99</v>
      </c>
      <c r="J25" s="5">
        <v>1.18</v>
      </c>
      <c r="K25" s="8">
        <f t="shared" si="0"/>
        <v>3.0107743429664691</v>
      </c>
      <c r="L25" s="8">
        <f t="shared" si="1"/>
        <v>1.1853340030135611</v>
      </c>
      <c r="M25" s="8">
        <f t="shared" si="2"/>
        <v>1.1613227279014491</v>
      </c>
      <c r="N25" s="7">
        <f t="shared" si="3"/>
        <v>1.5828196693687167</v>
      </c>
    </row>
    <row r="26" spans="1:14" x14ac:dyDescent="0.25">
      <c r="A26" s="9">
        <v>12</v>
      </c>
      <c r="B26" s="11" t="s">
        <v>91</v>
      </c>
      <c r="C26" s="12" t="s">
        <v>92</v>
      </c>
      <c r="D26" s="13">
        <v>72.150999999999996</v>
      </c>
      <c r="E26" s="14">
        <v>0.63109999999999999</v>
      </c>
      <c r="F26" s="15">
        <v>556.6</v>
      </c>
      <c r="G26" s="15">
        <v>488.6</v>
      </c>
      <c r="H26" s="15">
        <v>845.5</v>
      </c>
      <c r="I26" s="5">
        <v>4.33</v>
      </c>
      <c r="J26" s="5">
        <v>1.7</v>
      </c>
      <c r="K26" s="8">
        <f t="shared" si="0"/>
        <v>4.3600845836270263</v>
      </c>
      <c r="L26" s="8">
        <f t="shared" si="1"/>
        <v>1.7076845806127579</v>
      </c>
      <c r="M26" s="8">
        <f t="shared" si="2"/>
        <v>1.6817817430813624</v>
      </c>
      <c r="N26" s="7">
        <f t="shared" si="3"/>
        <v>1.0716621716845613</v>
      </c>
    </row>
    <row r="27" spans="1:14" x14ac:dyDescent="0.25">
      <c r="A27" s="9">
        <v>13</v>
      </c>
      <c r="B27" s="11" t="s">
        <v>93</v>
      </c>
      <c r="C27" s="12" t="s">
        <v>94</v>
      </c>
      <c r="D27" s="13">
        <v>86.177999999999997</v>
      </c>
      <c r="E27" s="14">
        <v>0.66400000000000003</v>
      </c>
      <c r="F27" s="15">
        <v>615.4</v>
      </c>
      <c r="G27" s="15">
        <v>436.9</v>
      </c>
      <c r="H27" s="15">
        <v>913.3</v>
      </c>
      <c r="I27" s="5">
        <v>7.09</v>
      </c>
      <c r="J27" s="5">
        <v>3.33</v>
      </c>
      <c r="K27" s="8">
        <f t="shared" si="0"/>
        <v>7.1392609002114593</v>
      </c>
      <c r="L27" s="8">
        <f t="shared" si="1"/>
        <v>3.3450527373179315</v>
      </c>
      <c r="M27" s="8">
        <f t="shared" si="2"/>
        <v>3.2891374950392995</v>
      </c>
      <c r="N27" s="7">
        <f t="shared" si="3"/>
        <v>1.2271022510720884</v>
      </c>
    </row>
    <row r="28" spans="1:14" x14ac:dyDescent="0.25">
      <c r="A28" s="9">
        <v>14</v>
      </c>
      <c r="B28" s="11" t="s">
        <v>95</v>
      </c>
      <c r="C28" s="12" t="s">
        <v>96</v>
      </c>
      <c r="D28" s="13">
        <v>84.161000000000001</v>
      </c>
      <c r="E28" s="14">
        <v>0.75360000000000005</v>
      </c>
      <c r="F28" s="15">
        <v>621</v>
      </c>
      <c r="G28" s="15">
        <v>548.9</v>
      </c>
      <c r="H28" s="15">
        <v>959.2</v>
      </c>
      <c r="I28" s="5">
        <v>1.24</v>
      </c>
      <c r="J28" s="5">
        <v>0.56999999999999995</v>
      </c>
      <c r="K28" s="8">
        <f t="shared" si="0"/>
        <v>1.2486154465814119</v>
      </c>
      <c r="L28" s="8">
        <f t="shared" si="1"/>
        <v>0.57257659467604227</v>
      </c>
      <c r="M28" s="8">
        <f t="shared" si="2"/>
        <v>0.56178734874363112</v>
      </c>
      <c r="N28" s="7">
        <f t="shared" si="3"/>
        <v>1.4408160098892686</v>
      </c>
    </row>
    <row r="29" spans="1:14" x14ac:dyDescent="0.25">
      <c r="A29" s="9">
        <v>15</v>
      </c>
      <c r="B29" s="11" t="s">
        <v>97</v>
      </c>
      <c r="C29" s="12" t="s">
        <v>97</v>
      </c>
      <c r="D29" s="13">
        <v>78.114000000000004</v>
      </c>
      <c r="E29" s="14">
        <v>0.88439999999999996</v>
      </c>
      <c r="F29" s="15">
        <v>636.29999999999995</v>
      </c>
      <c r="G29" s="15">
        <v>710.4</v>
      </c>
      <c r="H29" s="15">
        <v>1012</v>
      </c>
      <c r="I29" s="5">
        <v>0.34</v>
      </c>
      <c r="J29" s="5">
        <v>0.15</v>
      </c>
      <c r="K29" s="8">
        <f t="shared" si="0"/>
        <v>0.34236229986909683</v>
      </c>
      <c r="L29" s="8">
        <f t="shared" si="1"/>
        <v>0.15067805123053746</v>
      </c>
      <c r="M29" s="8">
        <f t="shared" si="2"/>
        <v>0.14297074392282688</v>
      </c>
      <c r="N29" s="7">
        <f t="shared" si="3"/>
        <v>4.6861707181154086</v>
      </c>
    </row>
    <row r="30" spans="1:14" x14ac:dyDescent="0.25">
      <c r="A30" s="9">
        <v>16</v>
      </c>
      <c r="B30" s="11" t="s">
        <v>98</v>
      </c>
      <c r="C30" s="12" t="s">
        <v>99</v>
      </c>
      <c r="D30" s="13">
        <v>84.161000000000001</v>
      </c>
      <c r="E30" s="14">
        <v>0.78339999999999999</v>
      </c>
      <c r="F30" s="15">
        <v>637.20000000000005</v>
      </c>
      <c r="G30" s="15">
        <v>590.79999999999995</v>
      </c>
      <c r="H30" s="15">
        <v>996.5</v>
      </c>
      <c r="I30" s="5">
        <v>0.75</v>
      </c>
      <c r="J30" s="5">
        <v>0.34</v>
      </c>
      <c r="K30" s="8">
        <f t="shared" si="0"/>
        <v>0.75521095559359597</v>
      </c>
      <c r="L30" s="8">
        <f t="shared" si="1"/>
        <v>0.34153691612255155</v>
      </c>
      <c r="M30" s="8">
        <f t="shared" si="2"/>
        <v>0.33979073512719626</v>
      </c>
      <c r="N30" s="7">
        <f t="shared" si="3"/>
        <v>6.1548492001106021E-2</v>
      </c>
    </row>
    <row r="31" spans="1:14" x14ac:dyDescent="0.25">
      <c r="A31" s="9">
        <v>17</v>
      </c>
      <c r="B31" s="11" t="s">
        <v>100</v>
      </c>
      <c r="C31" s="12" t="s">
        <v>101</v>
      </c>
      <c r="D31" s="13">
        <v>100.205</v>
      </c>
      <c r="E31" s="14">
        <v>0.72199999999999998</v>
      </c>
      <c r="F31" s="15">
        <v>668.8</v>
      </c>
      <c r="G31" s="15">
        <v>396.8</v>
      </c>
      <c r="H31" s="15">
        <v>972.4</v>
      </c>
      <c r="I31" s="5">
        <v>6.12</v>
      </c>
      <c r="J31" s="5">
        <v>3.34</v>
      </c>
      <c r="K31" s="8">
        <f t="shared" si="0"/>
        <v>6.1625213976437427</v>
      </c>
      <c r="L31" s="8">
        <f t="shared" si="1"/>
        <v>3.3550979407333004</v>
      </c>
      <c r="M31" s="8">
        <f t="shared" si="2"/>
        <v>3.3012635520670255</v>
      </c>
      <c r="N31" s="7">
        <f t="shared" si="3"/>
        <v>1.1597738902088135</v>
      </c>
    </row>
    <row r="32" spans="1:14" x14ac:dyDescent="0.25">
      <c r="A32" s="9">
        <v>18</v>
      </c>
      <c r="B32" s="11" t="s">
        <v>102</v>
      </c>
      <c r="C32" s="12" t="s">
        <v>103</v>
      </c>
      <c r="D32" s="13">
        <v>98.188999999999993</v>
      </c>
      <c r="E32" s="14">
        <v>0.7702</v>
      </c>
      <c r="F32" s="15">
        <v>675</v>
      </c>
      <c r="G32" s="15">
        <v>503.5</v>
      </c>
      <c r="H32" s="15">
        <v>1029.8</v>
      </c>
      <c r="I32" s="5">
        <v>1.34</v>
      </c>
      <c r="J32" s="5">
        <v>0.72</v>
      </c>
      <c r="K32" s="8">
        <f t="shared" si="0"/>
        <v>1.3493102406605582</v>
      </c>
      <c r="L32" s="8">
        <f t="shared" si="1"/>
        <v>0.72325464590657973</v>
      </c>
      <c r="M32" s="8">
        <f t="shared" si="2"/>
        <v>0.70828332582362741</v>
      </c>
      <c r="N32" s="7">
        <f t="shared" si="3"/>
        <v>1.627315857829523</v>
      </c>
    </row>
    <row r="33" spans="1:14" x14ac:dyDescent="0.25">
      <c r="A33" s="9">
        <v>19</v>
      </c>
      <c r="B33" s="11" t="s">
        <v>104</v>
      </c>
      <c r="C33" s="12" t="s">
        <v>104</v>
      </c>
      <c r="D33" s="13">
        <v>92.141000000000005</v>
      </c>
      <c r="E33" s="14">
        <v>0.87180000000000002</v>
      </c>
      <c r="F33" s="15">
        <v>690.5</v>
      </c>
      <c r="G33" s="15">
        <v>595.9</v>
      </c>
      <c r="H33" s="15">
        <v>1065.5999999999999</v>
      </c>
      <c r="I33" s="5">
        <v>0.99</v>
      </c>
      <c r="J33" s="5">
        <v>0.5</v>
      </c>
      <c r="K33" s="8">
        <f t="shared" si="0"/>
        <v>0.99687846138354663</v>
      </c>
      <c r="L33" s="8">
        <f t="shared" si="1"/>
        <v>0.50226017076845819</v>
      </c>
      <c r="M33" s="8">
        <f t="shared" si="2"/>
        <v>0.49105201608189769</v>
      </c>
      <c r="N33" s="7">
        <f t="shared" si="3"/>
        <v>1.7895967836204618</v>
      </c>
    </row>
    <row r="34" spans="1:14" x14ac:dyDescent="0.25">
      <c r="A34" s="9">
        <v>20</v>
      </c>
      <c r="B34" s="11" t="s">
        <v>105</v>
      </c>
      <c r="C34" s="12" t="s">
        <v>106</v>
      </c>
      <c r="D34" s="13">
        <v>114.232</v>
      </c>
      <c r="E34" s="14">
        <v>0.745</v>
      </c>
      <c r="F34" s="15">
        <v>717.9</v>
      </c>
      <c r="G34" s="15">
        <v>360.7</v>
      </c>
      <c r="H34" s="15">
        <v>1023.9</v>
      </c>
      <c r="I34" s="5">
        <v>6.19</v>
      </c>
      <c r="J34" s="5">
        <v>3.85</v>
      </c>
      <c r="K34" s="8">
        <f t="shared" si="0"/>
        <v>6.2330077534991455</v>
      </c>
      <c r="L34" s="8">
        <f t="shared" si="1"/>
        <v>3.8674033149171274</v>
      </c>
      <c r="M34" s="8">
        <f t="shared" si="2"/>
        <v>3.8064296895832004</v>
      </c>
      <c r="N34" s="7">
        <f t="shared" si="3"/>
        <v>1.1316963744623301</v>
      </c>
    </row>
    <row r="35" spans="1:14" x14ac:dyDescent="0.25">
      <c r="A35" s="9">
        <v>21</v>
      </c>
      <c r="B35" s="11" t="s">
        <v>107</v>
      </c>
      <c r="C35" s="12" t="s">
        <v>107</v>
      </c>
      <c r="D35" s="13">
        <v>106.16800000000001</v>
      </c>
      <c r="E35" s="14">
        <v>0.872</v>
      </c>
      <c r="F35" s="15">
        <v>735.5</v>
      </c>
      <c r="G35" s="15">
        <v>523.5</v>
      </c>
      <c r="H35" s="15">
        <v>1111.0999999999999</v>
      </c>
      <c r="I35" s="5">
        <v>0.65</v>
      </c>
      <c r="J35" s="5">
        <v>0.37</v>
      </c>
      <c r="K35" s="8">
        <f t="shared" si="0"/>
        <v>0.6545161615144498</v>
      </c>
      <c r="L35" s="8">
        <f t="shared" si="1"/>
        <v>0.371672526368659</v>
      </c>
      <c r="M35" s="8">
        <f t="shared" si="2"/>
        <v>0.37148935648799664</v>
      </c>
      <c r="N35" s="7">
        <f t="shared" si="3"/>
        <v>0.40252878053963248</v>
      </c>
    </row>
    <row r="36" spans="1:14" x14ac:dyDescent="0.25">
      <c r="A36" s="9">
        <v>22</v>
      </c>
      <c r="B36" s="11" t="s">
        <v>108</v>
      </c>
      <c r="C36" s="12" t="s">
        <v>108</v>
      </c>
      <c r="D36" s="13">
        <v>106.16800000000001</v>
      </c>
      <c r="E36" s="14">
        <v>0.86870000000000003</v>
      </c>
      <c r="F36" s="15">
        <v>738.4</v>
      </c>
      <c r="G36" s="15">
        <v>513.6</v>
      </c>
      <c r="H36" s="15">
        <v>1112.8</v>
      </c>
      <c r="I36" s="5">
        <v>1.2</v>
      </c>
      <c r="J36" s="5">
        <v>0.69</v>
      </c>
      <c r="K36" s="8">
        <f t="shared" si="0"/>
        <v>1.2083375289497533</v>
      </c>
      <c r="L36" s="8">
        <f t="shared" si="1"/>
        <v>0.69311903566047217</v>
      </c>
      <c r="M36" s="8">
        <f t="shared" si="2"/>
        <v>0.68582650428553227</v>
      </c>
      <c r="N36" s="7">
        <f t="shared" si="3"/>
        <v>0.60485445137212746</v>
      </c>
    </row>
    <row r="37" spans="1:14" x14ac:dyDescent="0.25">
      <c r="A37" s="9">
        <v>23</v>
      </c>
      <c r="B37" s="11" t="s">
        <v>109</v>
      </c>
      <c r="C37" s="12" t="s">
        <v>109</v>
      </c>
      <c r="D37" s="13">
        <v>106.16800000000001</v>
      </c>
      <c r="E37" s="14">
        <v>0.88480000000000003</v>
      </c>
      <c r="F37" s="15">
        <v>751.9</v>
      </c>
      <c r="G37" s="15">
        <v>541.4</v>
      </c>
      <c r="H37" s="15">
        <v>1135.4000000000001</v>
      </c>
      <c r="I37" s="5">
        <v>0.59</v>
      </c>
      <c r="J37" s="5">
        <v>0.34</v>
      </c>
      <c r="K37" s="8">
        <f t="shared" si="0"/>
        <v>0.59409928506696208</v>
      </c>
      <c r="L37" s="8">
        <f t="shared" si="1"/>
        <v>0.34153691612255155</v>
      </c>
      <c r="M37" s="8">
        <f t="shared" si="2"/>
        <v>0.33719803127372</v>
      </c>
      <c r="N37" s="7">
        <f t="shared" si="3"/>
        <v>0.8241084489058893</v>
      </c>
    </row>
    <row r="38" spans="1:14" x14ac:dyDescent="0.25">
      <c r="A38" s="9">
        <v>24</v>
      </c>
      <c r="B38" s="11" t="s">
        <v>110</v>
      </c>
      <c r="C38" s="12" t="s">
        <v>111</v>
      </c>
      <c r="D38" s="13">
        <v>128.25899999999999</v>
      </c>
      <c r="E38" s="14">
        <v>0.76400000000000001</v>
      </c>
      <c r="F38" s="15">
        <v>763.1</v>
      </c>
      <c r="G38" s="15">
        <v>331.8</v>
      </c>
      <c r="H38" s="15">
        <v>1070.4000000000001</v>
      </c>
      <c r="I38" s="5">
        <v>5.17</v>
      </c>
      <c r="J38" s="5">
        <v>3.61</v>
      </c>
      <c r="K38" s="8">
        <f t="shared" si="0"/>
        <v>5.205920853891854</v>
      </c>
      <c r="L38" s="8">
        <f t="shared" si="1"/>
        <v>3.6263184329482674</v>
      </c>
      <c r="M38" s="8">
        <f t="shared" si="2"/>
        <v>3.5695853877818431</v>
      </c>
      <c r="N38" s="7">
        <f t="shared" si="3"/>
        <v>1.1195183439932628</v>
      </c>
    </row>
    <row r="39" spans="1:14" x14ac:dyDescent="0.25">
      <c r="A39" s="9">
        <v>25</v>
      </c>
      <c r="B39" s="11" t="s">
        <v>112</v>
      </c>
      <c r="C39" s="12" t="s">
        <v>113</v>
      </c>
      <c r="D39" s="13">
        <v>142.286</v>
      </c>
      <c r="E39" s="14">
        <v>0.77800000000000002</v>
      </c>
      <c r="F39" s="15">
        <v>805.2</v>
      </c>
      <c r="G39" s="15">
        <v>305.7</v>
      </c>
      <c r="H39" s="15">
        <v>1111.8</v>
      </c>
      <c r="I39" s="5">
        <v>6</v>
      </c>
      <c r="J39" s="5">
        <v>4.6500000000000004</v>
      </c>
      <c r="K39" s="8">
        <f t="shared" si="0"/>
        <v>6.0416876447487677</v>
      </c>
      <c r="L39" s="8">
        <f t="shared" si="1"/>
        <v>4.6710195881466614</v>
      </c>
      <c r="M39" s="8">
        <f t="shared" si="2"/>
        <v>4.5957119842500207</v>
      </c>
      <c r="N39" s="7">
        <f t="shared" si="3"/>
        <v>1.1674842096769817</v>
      </c>
    </row>
    <row r="40" spans="1:14" x14ac:dyDescent="0.25">
      <c r="A40" s="9">
        <v>26</v>
      </c>
      <c r="B40" s="11" t="s">
        <v>114</v>
      </c>
      <c r="C40" s="12" t="s">
        <v>114</v>
      </c>
      <c r="D40" s="13">
        <v>156</v>
      </c>
      <c r="E40" s="14">
        <v>0.78900000000000003</v>
      </c>
      <c r="F40" s="15">
        <v>847</v>
      </c>
      <c r="G40" s="15">
        <v>285</v>
      </c>
      <c r="H40" s="15">
        <v>1150</v>
      </c>
      <c r="I40" s="5">
        <v>5.6</v>
      </c>
      <c r="J40" s="5">
        <v>4.49</v>
      </c>
      <c r="K40" s="8">
        <f t="shared" si="0"/>
        <v>5.6389084684321817</v>
      </c>
      <c r="L40" s="8">
        <f t="shared" si="1"/>
        <v>4.5102963335007544</v>
      </c>
      <c r="M40" s="8">
        <f t="shared" si="2"/>
        <v>4.7027512538605549</v>
      </c>
      <c r="N40" s="7">
        <f t="shared" si="3"/>
        <v>4.7383352752907504</v>
      </c>
    </row>
    <row r="41" spans="1:14" x14ac:dyDescent="0.25">
      <c r="A41" s="9">
        <v>27</v>
      </c>
      <c r="B41" s="11" t="s">
        <v>115</v>
      </c>
      <c r="C41" s="12" t="s">
        <v>115</v>
      </c>
      <c r="D41" s="13">
        <v>170</v>
      </c>
      <c r="E41" s="14">
        <v>0.8</v>
      </c>
      <c r="F41" s="15">
        <v>885</v>
      </c>
      <c r="G41" s="15">
        <v>264</v>
      </c>
      <c r="H41" s="15">
        <v>1185</v>
      </c>
      <c r="I41" s="5">
        <v>4.57</v>
      </c>
      <c r="J41" s="5">
        <v>4.01</v>
      </c>
      <c r="K41" s="8">
        <f t="shared" si="0"/>
        <v>4.6017520894169781</v>
      </c>
      <c r="L41" s="8">
        <f t="shared" si="1"/>
        <v>4.0281265695630344</v>
      </c>
      <c r="M41" s="8">
        <f t="shared" si="2"/>
        <v>4.1821971716166049</v>
      </c>
      <c r="N41" s="7">
        <f t="shared" si="3"/>
        <v>4.2941938059003766</v>
      </c>
    </row>
    <row r="42" spans="1:14" x14ac:dyDescent="0.25">
      <c r="A42" s="9">
        <v>28</v>
      </c>
      <c r="B42" s="11" t="s">
        <v>116</v>
      </c>
      <c r="C42" s="12" t="s">
        <v>116</v>
      </c>
      <c r="D42" s="13">
        <v>184</v>
      </c>
      <c r="E42" s="14">
        <v>0.81100000000000005</v>
      </c>
      <c r="F42" s="15">
        <v>923</v>
      </c>
      <c r="G42" s="15">
        <v>246</v>
      </c>
      <c r="H42" s="15">
        <v>1220</v>
      </c>
      <c r="I42" s="5">
        <v>4.03</v>
      </c>
      <c r="J42" s="5">
        <v>3.84</v>
      </c>
      <c r="K42" s="8">
        <f t="shared" si="0"/>
        <v>4.0580002013895893</v>
      </c>
      <c r="L42" s="8">
        <f t="shared" si="1"/>
        <v>3.8573581115017581</v>
      </c>
      <c r="M42" s="8">
        <f t="shared" si="2"/>
        <v>3.9917400523840194</v>
      </c>
      <c r="N42" s="7">
        <f t="shared" si="3"/>
        <v>3.9515638641671762</v>
      </c>
    </row>
    <row r="43" spans="1:14" x14ac:dyDescent="0.25">
      <c r="A43" s="9">
        <v>29</v>
      </c>
      <c r="B43" s="11" t="s">
        <v>117</v>
      </c>
      <c r="C43" s="12" t="s">
        <v>117</v>
      </c>
      <c r="D43" s="13">
        <v>198</v>
      </c>
      <c r="E43" s="14">
        <v>0.82199999999999995</v>
      </c>
      <c r="F43" s="15">
        <v>958</v>
      </c>
      <c r="G43" s="15">
        <v>230</v>
      </c>
      <c r="H43" s="15">
        <v>1250</v>
      </c>
      <c r="I43" s="5">
        <v>3.51</v>
      </c>
      <c r="J43" s="5">
        <v>3.63</v>
      </c>
      <c r="K43" s="8">
        <f t="shared" si="0"/>
        <v>3.5343872721780287</v>
      </c>
      <c r="L43" s="8">
        <f t="shared" si="1"/>
        <v>3.6464088397790064</v>
      </c>
      <c r="M43" s="8">
        <f t="shared" si="2"/>
        <v>3.7412065778479948</v>
      </c>
      <c r="N43" s="7">
        <f t="shared" si="3"/>
        <v>3.0635420894764445</v>
      </c>
    </row>
    <row r="44" spans="1:14" x14ac:dyDescent="0.25">
      <c r="A44" s="9">
        <v>30</v>
      </c>
      <c r="B44" s="11" t="s">
        <v>118</v>
      </c>
      <c r="C44" s="12" t="s">
        <v>118</v>
      </c>
      <c r="D44" s="13">
        <v>212</v>
      </c>
      <c r="E44" s="14">
        <v>0.83199999999999996</v>
      </c>
      <c r="F44" s="15">
        <v>991</v>
      </c>
      <c r="G44" s="15">
        <v>217</v>
      </c>
      <c r="H44" s="15">
        <v>1280</v>
      </c>
      <c r="I44" s="5">
        <v>3.13</v>
      </c>
      <c r="J44" s="5">
        <v>3.51</v>
      </c>
      <c r="K44" s="8">
        <f t="shared" si="0"/>
        <v>3.1517470546772737</v>
      </c>
      <c r="L44" s="8">
        <f t="shared" si="1"/>
        <v>3.5258663987945762</v>
      </c>
      <c r="M44" s="8">
        <f t="shared" si="2"/>
        <v>3.5720668750134044</v>
      </c>
      <c r="N44" s="7">
        <f t="shared" si="3"/>
        <v>1.7682870374189339</v>
      </c>
    </row>
    <row r="45" spans="1:14" x14ac:dyDescent="0.25">
      <c r="A45" s="9">
        <v>31</v>
      </c>
      <c r="B45" s="11" t="s">
        <v>119</v>
      </c>
      <c r="C45" s="12" t="s">
        <v>119</v>
      </c>
      <c r="D45" s="13">
        <v>226</v>
      </c>
      <c r="E45" s="14">
        <v>0.83899999999999997</v>
      </c>
      <c r="F45" s="15">
        <v>1020</v>
      </c>
      <c r="G45" s="15">
        <v>205</v>
      </c>
      <c r="H45" s="15">
        <v>1305</v>
      </c>
      <c r="I45" s="5">
        <v>2.62</v>
      </c>
      <c r="J45" s="5">
        <v>3.17</v>
      </c>
      <c r="K45" s="8">
        <f t="shared" si="0"/>
        <v>2.6382036048736284</v>
      </c>
      <c r="L45" s="8">
        <f t="shared" si="1"/>
        <v>3.184329482672025</v>
      </c>
      <c r="M45" s="8">
        <f t="shared" si="2"/>
        <v>3.1874920700960532</v>
      </c>
      <c r="N45" s="7">
        <f t="shared" si="3"/>
        <v>0.55180031848748412</v>
      </c>
    </row>
    <row r="46" spans="1:14" x14ac:dyDescent="0.25">
      <c r="A46" s="9">
        <v>32</v>
      </c>
      <c r="B46" s="11" t="s">
        <v>120</v>
      </c>
      <c r="C46" s="12" t="s">
        <v>120</v>
      </c>
      <c r="D46" s="13">
        <v>240</v>
      </c>
      <c r="E46" s="14">
        <v>0.84699999999999998</v>
      </c>
      <c r="F46" s="15">
        <v>1049</v>
      </c>
      <c r="G46" s="15">
        <v>193</v>
      </c>
      <c r="H46" s="15">
        <v>1332</v>
      </c>
      <c r="I46" s="5">
        <v>2.2000000000000002</v>
      </c>
      <c r="J46" s="5">
        <v>2.84</v>
      </c>
      <c r="K46" s="8">
        <f t="shared" si="0"/>
        <v>2.215285469741215</v>
      </c>
      <c r="L46" s="8">
        <f t="shared" si="1"/>
        <v>2.8528377699648422</v>
      </c>
      <c r="M46" s="8">
        <f t="shared" si="2"/>
        <v>2.8423221863992367</v>
      </c>
      <c r="N46" s="7">
        <f t="shared" si="3"/>
        <v>8.1767126733692602E-2</v>
      </c>
    </row>
    <row r="47" spans="1:14" x14ac:dyDescent="0.25">
      <c r="A47" s="9">
        <v>33</v>
      </c>
      <c r="B47" s="11" t="s">
        <v>121</v>
      </c>
      <c r="C47" s="12" t="s">
        <v>121</v>
      </c>
      <c r="D47" s="13">
        <v>254</v>
      </c>
      <c r="E47" s="14">
        <v>0.85199999999999998</v>
      </c>
      <c r="F47" s="15">
        <v>1075</v>
      </c>
      <c r="G47" s="15">
        <v>186</v>
      </c>
      <c r="H47" s="15">
        <v>1354</v>
      </c>
      <c r="I47" s="5">
        <v>1.99</v>
      </c>
      <c r="J47" s="5">
        <v>2.72</v>
      </c>
      <c r="K47" s="8">
        <f t="shared" ref="K47:K65" si="4">IF(SUM($I$15:$I$65)=0,0,I47/SUM($I$15:$I$65)*100)</f>
        <v>2.0038264021750076</v>
      </c>
      <c r="L47" s="8">
        <f t="shared" ref="L47:L65" si="5">IF(SUM($J$15:$J$65)=0,0,J47/SUM($J$15:$J$65)*100)</f>
        <v>2.7322953289804124</v>
      </c>
      <c r="M47" s="8">
        <f t="shared" ref="M47:M65" si="6">IF(SUMPRODUCT($D$15:$D$65,$I$15:$I$65)=0,0,I47*D47/SUMPRODUCT($D$15:$D$65,$I$15:$I$65)*100)</f>
        <v>2.7209851748813603</v>
      </c>
      <c r="N47" s="7">
        <f t="shared" ref="N47:N78" si="7">IF(J47=0,0,ABS(M47-J47)/J47*100)</f>
        <v>3.6219664755885055E-2</v>
      </c>
    </row>
    <row r="48" spans="1:14" x14ac:dyDescent="0.25">
      <c r="A48" s="9">
        <v>34</v>
      </c>
      <c r="B48" s="11" t="s">
        <v>122</v>
      </c>
      <c r="C48" s="12" t="s">
        <v>122</v>
      </c>
      <c r="D48" s="13">
        <v>268</v>
      </c>
      <c r="E48" s="14">
        <v>0.85699999999999998</v>
      </c>
      <c r="F48" s="15">
        <v>1101</v>
      </c>
      <c r="G48" s="15">
        <v>175</v>
      </c>
      <c r="H48" s="15">
        <v>1381</v>
      </c>
      <c r="I48" s="5">
        <v>1.89</v>
      </c>
      <c r="J48" s="5">
        <v>2.71</v>
      </c>
      <c r="K48" s="8">
        <f t="shared" si="4"/>
        <v>1.9031316080958613</v>
      </c>
      <c r="L48" s="8">
        <f t="shared" si="5"/>
        <v>2.7222501255650431</v>
      </c>
      <c r="M48" s="8">
        <f t="shared" si="6"/>
        <v>2.7266913519979949</v>
      </c>
      <c r="N48" s="7">
        <f t="shared" si="7"/>
        <v>0.61591704789649393</v>
      </c>
    </row>
    <row r="49" spans="1:14" x14ac:dyDescent="0.25">
      <c r="A49" s="9">
        <v>35</v>
      </c>
      <c r="B49" s="11" t="s">
        <v>123</v>
      </c>
      <c r="C49" s="12" t="s">
        <v>123</v>
      </c>
      <c r="D49" s="13">
        <v>282</v>
      </c>
      <c r="E49" s="14">
        <v>0.86199999999999999</v>
      </c>
      <c r="F49" s="15">
        <v>1124</v>
      </c>
      <c r="G49" s="15">
        <v>167</v>
      </c>
      <c r="H49" s="15">
        <v>1402</v>
      </c>
      <c r="I49" s="5">
        <v>1.64</v>
      </c>
      <c r="J49" s="5">
        <v>2.46</v>
      </c>
      <c r="K49" s="8">
        <f t="shared" si="4"/>
        <v>1.6513946228979961</v>
      </c>
      <c r="L49" s="8">
        <f t="shared" si="5"/>
        <v>2.4711200401808142</v>
      </c>
      <c r="M49" s="8">
        <f t="shared" si="6"/>
        <v>2.4896158423596946</v>
      </c>
      <c r="N49" s="7">
        <f t="shared" si="7"/>
        <v>1.2038960308818947</v>
      </c>
    </row>
    <row r="50" spans="1:14" x14ac:dyDescent="0.25">
      <c r="A50" s="9">
        <v>36</v>
      </c>
      <c r="B50" s="11" t="s">
        <v>124</v>
      </c>
      <c r="C50" s="12" t="s">
        <v>124</v>
      </c>
      <c r="D50" s="13">
        <v>296</v>
      </c>
      <c r="E50" s="14">
        <v>0.86699999999999999</v>
      </c>
      <c r="F50" s="15">
        <v>1146</v>
      </c>
      <c r="G50" s="15">
        <v>159</v>
      </c>
      <c r="H50" s="15">
        <v>1424</v>
      </c>
      <c r="I50" s="5">
        <v>1.47</v>
      </c>
      <c r="J50" s="5">
        <v>2.3199999999999998</v>
      </c>
      <c r="K50" s="8">
        <f t="shared" si="4"/>
        <v>1.480213472963448</v>
      </c>
      <c r="L50" s="8">
        <f t="shared" si="5"/>
        <v>2.3304871923656454</v>
      </c>
      <c r="M50" s="8">
        <f t="shared" si="6"/>
        <v>2.3423318745190076</v>
      </c>
      <c r="N50" s="7">
        <f t="shared" si="7"/>
        <v>0.96258079823309306</v>
      </c>
    </row>
    <row r="51" spans="1:14" x14ac:dyDescent="0.25">
      <c r="A51" s="9">
        <v>37</v>
      </c>
      <c r="B51" s="11" t="s">
        <v>125</v>
      </c>
      <c r="C51" s="12" t="s">
        <v>125</v>
      </c>
      <c r="D51" s="13">
        <v>310</v>
      </c>
      <c r="E51" s="14">
        <v>0.872</v>
      </c>
      <c r="F51" s="15">
        <v>1167</v>
      </c>
      <c r="G51" s="15">
        <v>152</v>
      </c>
      <c r="H51" s="15">
        <v>1442</v>
      </c>
      <c r="I51" s="5">
        <v>1.28</v>
      </c>
      <c r="J51" s="5">
        <v>2.12</v>
      </c>
      <c r="K51" s="8">
        <f t="shared" si="4"/>
        <v>1.2888933642130704</v>
      </c>
      <c r="L51" s="8">
        <f t="shared" si="5"/>
        <v>2.129583124058263</v>
      </c>
      <c r="M51" s="8">
        <f t="shared" si="6"/>
        <v>2.1360481885666993</v>
      </c>
      <c r="N51" s="7">
        <f t="shared" si="7"/>
        <v>0.75699002673109461</v>
      </c>
    </row>
    <row r="52" spans="1:14" x14ac:dyDescent="0.25">
      <c r="A52" s="9">
        <v>38</v>
      </c>
      <c r="B52" s="11" t="s">
        <v>126</v>
      </c>
      <c r="C52" s="12" t="s">
        <v>126</v>
      </c>
      <c r="D52" s="13">
        <v>324</v>
      </c>
      <c r="E52" s="14">
        <v>0.877</v>
      </c>
      <c r="F52" s="15">
        <v>1187</v>
      </c>
      <c r="G52" s="15">
        <v>146</v>
      </c>
      <c r="H52" s="15">
        <v>1460</v>
      </c>
      <c r="I52" s="5">
        <v>1.1299999999999999</v>
      </c>
      <c r="J52" s="5">
        <v>1.95</v>
      </c>
      <c r="K52" s="8">
        <f t="shared" si="4"/>
        <v>1.137851173094351</v>
      </c>
      <c r="L52" s="8">
        <f t="shared" si="5"/>
        <v>1.9588146659969867</v>
      </c>
      <c r="M52" s="8">
        <f t="shared" si="6"/>
        <v>1.970892043341834</v>
      </c>
      <c r="N52" s="7">
        <f t="shared" si="7"/>
        <v>1.0713868380427709</v>
      </c>
    </row>
    <row r="53" spans="1:14" x14ac:dyDescent="0.25">
      <c r="A53" s="9">
        <v>39</v>
      </c>
      <c r="B53" s="11" t="s">
        <v>127</v>
      </c>
      <c r="C53" s="12" t="s">
        <v>127</v>
      </c>
      <c r="D53" s="13">
        <v>338</v>
      </c>
      <c r="E53" s="14">
        <v>0.88100000000000001</v>
      </c>
      <c r="F53" s="15">
        <v>1207</v>
      </c>
      <c r="G53" s="15">
        <v>140</v>
      </c>
      <c r="H53" s="15">
        <v>1478</v>
      </c>
      <c r="I53" s="5">
        <v>1.02</v>
      </c>
      <c r="J53" s="5">
        <v>1.84</v>
      </c>
      <c r="K53" s="8">
        <f t="shared" si="4"/>
        <v>1.0270868996072904</v>
      </c>
      <c r="L53" s="8">
        <f t="shared" si="5"/>
        <v>1.8483174284279262</v>
      </c>
      <c r="M53" s="8">
        <f t="shared" si="6"/>
        <v>1.8559071912556835</v>
      </c>
      <c r="N53" s="7">
        <f t="shared" si="7"/>
        <v>0.86452126389583717</v>
      </c>
    </row>
    <row r="54" spans="1:14" x14ac:dyDescent="0.25">
      <c r="A54" s="9">
        <v>40</v>
      </c>
      <c r="B54" s="11" t="s">
        <v>128</v>
      </c>
      <c r="C54" s="12" t="s">
        <v>128</v>
      </c>
      <c r="D54" s="13">
        <v>352</v>
      </c>
      <c r="E54" s="14">
        <v>0.88500000000000001</v>
      </c>
      <c r="F54" s="15">
        <v>1226</v>
      </c>
      <c r="G54" s="15">
        <v>134</v>
      </c>
      <c r="H54" s="15">
        <v>1494</v>
      </c>
      <c r="I54" s="5">
        <v>0.9</v>
      </c>
      <c r="J54" s="5">
        <v>1.7</v>
      </c>
      <c r="K54" s="8">
        <f t="shared" si="4"/>
        <v>0.90625314671231516</v>
      </c>
      <c r="L54" s="8">
        <f t="shared" si="5"/>
        <v>1.7076845806127579</v>
      </c>
      <c r="M54" s="8">
        <f t="shared" si="6"/>
        <v>1.7053933118395421</v>
      </c>
      <c r="N54" s="7">
        <f t="shared" si="7"/>
        <v>0.31725363762012765</v>
      </c>
    </row>
    <row r="55" spans="1:14" x14ac:dyDescent="0.25">
      <c r="A55" s="9">
        <v>41</v>
      </c>
      <c r="B55" s="11" t="s">
        <v>129</v>
      </c>
      <c r="C55" s="12" t="s">
        <v>129</v>
      </c>
      <c r="D55" s="13">
        <v>366</v>
      </c>
      <c r="E55" s="14">
        <v>0.88900000000000001</v>
      </c>
      <c r="F55" s="15">
        <v>1244</v>
      </c>
      <c r="G55" s="15">
        <v>129</v>
      </c>
      <c r="H55" s="15">
        <v>1509</v>
      </c>
      <c r="I55" s="5">
        <v>0.82</v>
      </c>
      <c r="J55" s="5">
        <v>1.59</v>
      </c>
      <c r="K55" s="8">
        <f t="shared" si="4"/>
        <v>0.82569731144899805</v>
      </c>
      <c r="L55" s="8">
        <f t="shared" si="5"/>
        <v>1.5971873430436969</v>
      </c>
      <c r="M55" s="8">
        <f t="shared" si="6"/>
        <v>1.6156017700419296</v>
      </c>
      <c r="N55" s="7">
        <f t="shared" si="7"/>
        <v>1.6101742164735557</v>
      </c>
    </row>
    <row r="56" spans="1:14" x14ac:dyDescent="0.25">
      <c r="A56" s="9">
        <v>42</v>
      </c>
      <c r="B56" s="11" t="s">
        <v>130</v>
      </c>
      <c r="C56" s="12" t="s">
        <v>130</v>
      </c>
      <c r="D56" s="13">
        <v>380</v>
      </c>
      <c r="E56" s="14">
        <v>0.89300000000000002</v>
      </c>
      <c r="F56" s="15">
        <v>1262</v>
      </c>
      <c r="G56" s="15">
        <v>125</v>
      </c>
      <c r="H56" s="15">
        <v>1523</v>
      </c>
      <c r="I56" s="5">
        <v>0.73</v>
      </c>
      <c r="J56" s="5">
        <v>1.49</v>
      </c>
      <c r="K56" s="8">
        <f t="shared" si="4"/>
        <v>0.73507199677776669</v>
      </c>
      <c r="L56" s="8">
        <f t="shared" si="5"/>
        <v>1.4967353088900053</v>
      </c>
      <c r="M56" s="8">
        <f t="shared" si="6"/>
        <v>1.493295785051417</v>
      </c>
      <c r="N56" s="7">
        <f t="shared" si="7"/>
        <v>0.22119362761188138</v>
      </c>
    </row>
    <row r="57" spans="1:14" x14ac:dyDescent="0.25">
      <c r="A57" s="9">
        <v>43</v>
      </c>
      <c r="B57" s="11" t="s">
        <v>131</v>
      </c>
      <c r="C57" s="12" t="s">
        <v>131</v>
      </c>
      <c r="D57" s="13">
        <v>394</v>
      </c>
      <c r="E57" s="14">
        <v>0.89600000000000002</v>
      </c>
      <c r="F57" s="15">
        <v>1277</v>
      </c>
      <c r="G57" s="15">
        <v>120</v>
      </c>
      <c r="H57" s="15">
        <v>1537</v>
      </c>
      <c r="I57" s="5">
        <v>0.69</v>
      </c>
      <c r="J57" s="5">
        <v>1.47</v>
      </c>
      <c r="K57" s="8">
        <f t="shared" si="4"/>
        <v>0.69479407914610825</v>
      </c>
      <c r="L57" s="8">
        <f t="shared" si="5"/>
        <v>1.4766449020592669</v>
      </c>
      <c r="M57" s="8">
        <f t="shared" si="6"/>
        <v>1.4634729348380613</v>
      </c>
      <c r="N57" s="7">
        <f t="shared" si="7"/>
        <v>0.44401803822712133</v>
      </c>
    </row>
    <row r="58" spans="1:14" x14ac:dyDescent="0.25">
      <c r="A58" s="9">
        <v>44</v>
      </c>
      <c r="B58" s="11" t="s">
        <v>132</v>
      </c>
      <c r="C58" s="12" t="s">
        <v>132</v>
      </c>
      <c r="D58" s="13">
        <v>408</v>
      </c>
      <c r="E58" s="14">
        <v>0.89900000000000002</v>
      </c>
      <c r="F58" s="15">
        <v>1294</v>
      </c>
      <c r="G58" s="15">
        <v>116</v>
      </c>
      <c r="H58" s="15">
        <v>1550</v>
      </c>
      <c r="I58" s="5">
        <v>0.63</v>
      </c>
      <c r="J58" s="5">
        <v>1.38</v>
      </c>
      <c r="K58" s="8">
        <f t="shared" si="4"/>
        <v>0.63437720269862063</v>
      </c>
      <c r="L58" s="8">
        <f t="shared" si="5"/>
        <v>1.3862380713209443</v>
      </c>
      <c r="M58" s="8">
        <f t="shared" si="6"/>
        <v>1.3836941189243559</v>
      </c>
      <c r="N58" s="7">
        <f t="shared" si="7"/>
        <v>0.26768977712724673</v>
      </c>
    </row>
    <row r="59" spans="1:14" x14ac:dyDescent="0.25">
      <c r="A59" s="9">
        <v>45</v>
      </c>
      <c r="B59" s="11" t="s">
        <v>133</v>
      </c>
      <c r="C59" s="12" t="s">
        <v>133</v>
      </c>
      <c r="D59" s="13">
        <v>422</v>
      </c>
      <c r="E59" s="14">
        <v>0.90200000000000002</v>
      </c>
      <c r="F59" s="15">
        <v>1310</v>
      </c>
      <c r="G59" s="15">
        <v>112</v>
      </c>
      <c r="H59" s="15">
        <v>1563</v>
      </c>
      <c r="I59" s="5">
        <v>0.57999999999999996</v>
      </c>
      <c r="J59" s="5">
        <v>1.3</v>
      </c>
      <c r="K59" s="8">
        <f t="shared" si="4"/>
        <v>0.58402980565904739</v>
      </c>
      <c r="L59" s="8">
        <f t="shared" si="5"/>
        <v>1.3058764439979913</v>
      </c>
      <c r="M59" s="8">
        <f t="shared" si="6"/>
        <v>1.317588595346737</v>
      </c>
      <c r="N59" s="7">
        <f t="shared" si="7"/>
        <v>1.3529688728259197</v>
      </c>
    </row>
    <row r="60" spans="1:14" x14ac:dyDescent="0.25">
      <c r="A60" s="9">
        <v>46</v>
      </c>
      <c r="B60" s="11" t="s">
        <v>134</v>
      </c>
      <c r="C60" s="12" t="s">
        <v>134</v>
      </c>
      <c r="D60" s="13">
        <v>436</v>
      </c>
      <c r="E60" s="14">
        <v>0.90600000000000003</v>
      </c>
      <c r="F60" s="15">
        <v>1323</v>
      </c>
      <c r="G60" s="15">
        <v>108</v>
      </c>
      <c r="H60" s="15">
        <v>1574</v>
      </c>
      <c r="I60" s="5">
        <v>0.52</v>
      </c>
      <c r="J60" s="5">
        <v>1.21</v>
      </c>
      <c r="K60" s="8">
        <f t="shared" si="4"/>
        <v>0.52361292921155977</v>
      </c>
      <c r="L60" s="8">
        <f t="shared" si="5"/>
        <v>1.2154696132596687</v>
      </c>
      <c r="M60" s="8">
        <f t="shared" si="6"/>
        <v>1.2204759206447633</v>
      </c>
      <c r="N60" s="7">
        <f t="shared" si="7"/>
        <v>0.86577856568291944</v>
      </c>
    </row>
    <row r="61" spans="1:14" x14ac:dyDescent="0.25">
      <c r="A61" s="9">
        <v>47</v>
      </c>
      <c r="B61" s="11" t="s">
        <v>135</v>
      </c>
      <c r="C61" s="12" t="s">
        <v>135</v>
      </c>
      <c r="D61" s="13">
        <v>450</v>
      </c>
      <c r="E61" s="14">
        <v>0.90900000000000003</v>
      </c>
      <c r="F61" s="15">
        <v>1335</v>
      </c>
      <c r="G61" s="15">
        <v>104</v>
      </c>
      <c r="H61" s="15">
        <v>1584</v>
      </c>
      <c r="I61" s="5">
        <v>0.47</v>
      </c>
      <c r="J61" s="5">
        <v>1.1299999999999999</v>
      </c>
      <c r="K61" s="8">
        <f t="shared" si="4"/>
        <v>0.47326553217198675</v>
      </c>
      <c r="L61" s="8">
        <f t="shared" si="5"/>
        <v>1.1351079859367155</v>
      </c>
      <c r="M61" s="8">
        <f t="shared" si="6"/>
        <v>1.1385438303474216</v>
      </c>
      <c r="N61" s="7">
        <f t="shared" si="7"/>
        <v>0.75609118118775909</v>
      </c>
    </row>
    <row r="62" spans="1:14" x14ac:dyDescent="0.25">
      <c r="A62" s="9">
        <v>48</v>
      </c>
      <c r="B62" s="11" t="s">
        <v>136</v>
      </c>
      <c r="C62" s="12" t="s">
        <v>136</v>
      </c>
      <c r="D62" s="13">
        <v>464</v>
      </c>
      <c r="E62" s="14">
        <v>0.91200000000000003</v>
      </c>
      <c r="F62" s="15">
        <v>1349</v>
      </c>
      <c r="G62" s="15">
        <v>101</v>
      </c>
      <c r="H62" s="15">
        <v>1594</v>
      </c>
      <c r="I62" s="5">
        <v>0.43</v>
      </c>
      <c r="J62" s="5">
        <v>1.06</v>
      </c>
      <c r="K62" s="8">
        <f t="shared" si="4"/>
        <v>0.4329876145403283</v>
      </c>
      <c r="L62" s="8">
        <f t="shared" si="5"/>
        <v>1.0647915620291315</v>
      </c>
      <c r="M62" s="8">
        <f t="shared" si="6"/>
        <v>1.0740532625575299</v>
      </c>
      <c r="N62" s="7">
        <f t="shared" si="7"/>
        <v>1.3257794865594161</v>
      </c>
    </row>
    <row r="63" spans="1:14" x14ac:dyDescent="0.25">
      <c r="A63" s="9">
        <v>49</v>
      </c>
      <c r="B63" s="11" t="s">
        <v>137</v>
      </c>
      <c r="C63" s="12" t="s">
        <v>137</v>
      </c>
      <c r="D63" s="13">
        <v>478</v>
      </c>
      <c r="E63" s="14">
        <v>0.91500000000000004</v>
      </c>
      <c r="F63" s="15">
        <v>1360</v>
      </c>
      <c r="G63" s="15">
        <v>98</v>
      </c>
      <c r="H63" s="15">
        <v>1603</v>
      </c>
      <c r="I63" s="5">
        <v>0.41</v>
      </c>
      <c r="J63" s="5">
        <v>1.05</v>
      </c>
      <c r="K63" s="8">
        <f t="shared" si="4"/>
        <v>0.41284865572449903</v>
      </c>
      <c r="L63" s="8">
        <f t="shared" si="5"/>
        <v>1.0547463586137622</v>
      </c>
      <c r="M63" s="8">
        <f t="shared" si="6"/>
        <v>1.0549967842623531</v>
      </c>
      <c r="N63" s="7">
        <f t="shared" si="7"/>
        <v>0.47588421546219623</v>
      </c>
    </row>
    <row r="64" spans="1:14" x14ac:dyDescent="0.25">
      <c r="A64" s="9">
        <v>50</v>
      </c>
      <c r="B64" s="11" t="s">
        <v>138</v>
      </c>
      <c r="C64" s="12" t="s">
        <v>138</v>
      </c>
      <c r="D64" s="13">
        <v>492</v>
      </c>
      <c r="E64" s="14">
        <v>0.91700000000000004</v>
      </c>
      <c r="F64" s="15">
        <v>1373</v>
      </c>
      <c r="G64" s="15">
        <v>95</v>
      </c>
      <c r="H64" s="15">
        <v>1612</v>
      </c>
      <c r="I64" s="5">
        <v>0.36</v>
      </c>
      <c r="J64" s="5">
        <v>0.96</v>
      </c>
      <c r="K64" s="8">
        <f t="shared" si="4"/>
        <v>0.362501258684926</v>
      </c>
      <c r="L64" s="8">
        <f t="shared" si="5"/>
        <v>0.96433952787543953</v>
      </c>
      <c r="M64" s="8">
        <f t="shared" si="6"/>
        <v>0.95346989707392571</v>
      </c>
      <c r="N64" s="7">
        <f t="shared" si="7"/>
        <v>0.68021905479940159</v>
      </c>
    </row>
    <row r="65" spans="1:14" x14ac:dyDescent="0.25">
      <c r="A65" s="9">
        <v>51</v>
      </c>
      <c r="B65" s="11" t="s">
        <v>139</v>
      </c>
      <c r="C65" s="12" t="s">
        <v>139</v>
      </c>
      <c r="D65" s="6">
        <v>635</v>
      </c>
      <c r="E65" s="14">
        <v>0.94</v>
      </c>
      <c r="F65" s="15">
        <v>1490</v>
      </c>
      <c r="G65" s="15">
        <v>80</v>
      </c>
      <c r="H65" s="15">
        <v>1700</v>
      </c>
      <c r="I65" s="5">
        <v>4.6900000000000004</v>
      </c>
      <c r="J65" s="5">
        <v>16.190000000000001</v>
      </c>
      <c r="K65" s="8">
        <f t="shared" si="4"/>
        <v>4.7225858423119531</v>
      </c>
      <c r="L65" s="8">
        <f t="shared" si="5"/>
        <v>16.263184329482677</v>
      </c>
      <c r="M65" s="8">
        <f t="shared" si="6"/>
        <v>16.031935264062287</v>
      </c>
      <c r="N65" s="7">
        <f t="shared" si="7"/>
        <v>0.97631090758316164</v>
      </c>
    </row>
    <row r="66" spans="1:14" x14ac:dyDescent="0.25">
      <c r="B66" s="16" t="s">
        <v>140</v>
      </c>
      <c r="I66" s="17">
        <f>SUM(I15:I65)</f>
        <v>99.309999999999988</v>
      </c>
      <c r="J66" s="17">
        <f>SUM(J15:J65)</f>
        <v>99.549999999999983</v>
      </c>
      <c r="K66" s="17">
        <f>SUM(K15:K65)</f>
        <v>99.999999999999986</v>
      </c>
      <c r="L66" s="17">
        <f>SUM(L15:L65)</f>
        <v>100.00000000000003</v>
      </c>
      <c r="M66" s="17">
        <f>SUM(M15:M65)</f>
        <v>99.999999999999986</v>
      </c>
    </row>
    <row r="67" spans="1:14" x14ac:dyDescent="0.25">
      <c r="B67" s="1" t="s">
        <v>141</v>
      </c>
      <c r="I67" s="9" t="str">
        <f>IF(ABS(I66-100)&lt;=0.5,"PASS",IF(ABS(I66-100)&lt;=2,"REVIEW","FAIL"))</f>
        <v>REVIEW</v>
      </c>
      <c r="J67" s="9" t="str">
        <f>IF(ABS(J66-100)&lt;=0.5,"PASS",IF(ABS(J66-100)&lt;=2,"REVIEW","FAIL"))</f>
        <v>PASS</v>
      </c>
    </row>
    <row r="70" spans="1:14" ht="20.100000000000001" customHeight="1" x14ac:dyDescent="0.25">
      <c r="A70" s="42" t="s">
        <v>142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4" ht="32.1" customHeight="1" x14ac:dyDescent="0.25">
      <c r="A71" s="38" t="s">
        <v>143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</row>
    <row r="72" spans="1:14" ht="38.1" customHeight="1" x14ac:dyDescent="0.25">
      <c r="A72" s="38" t="s">
        <v>144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</row>
    <row r="73" spans="1:14" ht="32.1" customHeight="1" x14ac:dyDescent="0.25">
      <c r="A73" s="38" t="s">
        <v>145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</row>
  </sheetData>
  <mergeCells count="8">
    <mergeCell ref="A73:N73"/>
    <mergeCell ref="A71:N71"/>
    <mergeCell ref="A1:N1"/>
    <mergeCell ref="A70:N70"/>
    <mergeCell ref="A12:N12"/>
    <mergeCell ref="A4:N4"/>
    <mergeCell ref="A2:N2"/>
    <mergeCell ref="A72:N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7"/>
  <sheetViews>
    <sheetView workbookViewId="0">
      <selection activeCell="A11" sqref="A11"/>
    </sheetView>
  </sheetViews>
  <sheetFormatPr defaultRowHeight="15" x14ac:dyDescent="0.25"/>
  <cols>
    <col min="1" max="1" width="29" customWidth="1"/>
    <col min="2" max="2" width="13" customWidth="1"/>
    <col min="3" max="3" width="20" customWidth="1"/>
    <col min="4" max="4" width="29" customWidth="1"/>
    <col min="5" max="5" width="11" customWidth="1"/>
    <col min="6" max="6" width="10" customWidth="1"/>
    <col min="7" max="7" width="29" customWidth="1"/>
    <col min="8" max="8" width="10" customWidth="1"/>
    <col min="9" max="12" width="12" customWidth="1"/>
    <col min="13" max="13" width="13" customWidth="1"/>
    <col min="14" max="14" width="10" customWidth="1"/>
  </cols>
  <sheetData>
    <row r="1" spans="1:14" ht="26.1" customHeight="1" x14ac:dyDescent="0.25">
      <c r="A1" s="41" t="s">
        <v>146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5" customHeight="1" x14ac:dyDescent="0.25">
      <c r="A2" s="40" t="s">
        <v>147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 ht="21.95" customHeight="1" x14ac:dyDescent="0.25">
      <c r="A4" s="43" t="s">
        <v>148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</row>
    <row r="5" spans="1:14" x14ac:dyDescent="0.25">
      <c r="A5" s="1" t="s">
        <v>149</v>
      </c>
      <c r="B5" s="6">
        <v>25.42</v>
      </c>
      <c r="D5" s="1" t="s">
        <v>150</v>
      </c>
      <c r="E5" s="8">
        <f>B5/28.964</f>
        <v>0.87764120977765514</v>
      </c>
      <c r="G5" s="1" t="s">
        <v>151</v>
      </c>
      <c r="H5" s="2" t="s">
        <v>152</v>
      </c>
    </row>
    <row r="6" spans="1:14" x14ac:dyDescent="0.25">
      <c r="A6" s="1" t="s">
        <v>153</v>
      </c>
      <c r="B6" s="7">
        <f>IF(SUM(K15:K65)=0,0,SUMPRODUCT(D15:D65,K15:K65)/SUM(K15:K65))</f>
        <v>26.102136499999993</v>
      </c>
      <c r="D6" s="1" t="s">
        <v>154</v>
      </c>
      <c r="E6" s="7">
        <f>IF(SUM(L15:L65)=0,0,100/SUMPRODUCT(L15:L65,1/D15:D65))</f>
        <v>31.727751817479959</v>
      </c>
      <c r="G6" s="1" t="s">
        <v>47</v>
      </c>
      <c r="H6" s="7">
        <f>IF(B5=0,0,ABS(B5-B6)/B5*100)</f>
        <v>2.6834638080251434</v>
      </c>
    </row>
    <row r="7" spans="1:14" x14ac:dyDescent="0.25">
      <c r="A7" s="1" t="s">
        <v>155</v>
      </c>
      <c r="B7" s="18">
        <f>B5*14.73/(1205.91*288.7056)</f>
        <v>1.0754944870835156E-3</v>
      </c>
      <c r="D7" s="1" t="s">
        <v>156</v>
      </c>
      <c r="E7" s="19">
        <f>B7*1000</f>
        <v>1.0754944870835157</v>
      </c>
      <c r="G7" s="1" t="s">
        <v>157</v>
      </c>
      <c r="H7" s="7">
        <f>MAX(N15:N65)</f>
        <v>1067.1544587930573</v>
      </c>
    </row>
    <row r="8" spans="1:14" x14ac:dyDescent="0.25">
      <c r="A8" s="1" t="s">
        <v>158</v>
      </c>
      <c r="B8" s="9" t="str">
        <f>IF(AND(H7&lt;=5,H6&lt;=5),"PASS",IF(AND(H7&lt;=10,H6&lt;=10),"REVIEW","FAIL"))</f>
        <v>FAIL</v>
      </c>
    </row>
    <row r="12" spans="1:14" ht="21.95" customHeight="1" x14ac:dyDescent="0.25">
      <c r="A12" s="43" t="s">
        <v>54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4" spans="1:14" ht="33.950000000000003" customHeight="1" x14ac:dyDescent="0.25">
      <c r="A14" s="10" t="s">
        <v>55</v>
      </c>
      <c r="B14" s="10" t="s">
        <v>56</v>
      </c>
      <c r="C14" s="10" t="s">
        <v>57</v>
      </c>
      <c r="D14" s="10" t="s">
        <v>58</v>
      </c>
      <c r="E14" s="10" t="s">
        <v>59</v>
      </c>
      <c r="F14" s="10" t="s">
        <v>60</v>
      </c>
      <c r="G14" s="10" t="s">
        <v>61</v>
      </c>
      <c r="H14" s="10" t="s">
        <v>62</v>
      </c>
      <c r="I14" s="10" t="s">
        <v>63</v>
      </c>
      <c r="J14" s="10" t="s">
        <v>64</v>
      </c>
      <c r="K14" s="10" t="s">
        <v>65</v>
      </c>
      <c r="L14" s="10" t="s">
        <v>66</v>
      </c>
      <c r="M14" s="10" t="s">
        <v>67</v>
      </c>
      <c r="N14" s="10" t="s">
        <v>68</v>
      </c>
    </row>
    <row r="15" spans="1:14" x14ac:dyDescent="0.25">
      <c r="A15" s="9">
        <v>1</v>
      </c>
      <c r="B15" s="11" t="s">
        <v>69</v>
      </c>
      <c r="C15" s="12" t="s">
        <v>70</v>
      </c>
      <c r="D15" s="13">
        <v>2.016</v>
      </c>
      <c r="E15" s="14">
        <v>7.1099999999999997E-2</v>
      </c>
      <c r="F15" s="15">
        <v>36.700000000000003</v>
      </c>
      <c r="G15" s="15">
        <v>188</v>
      </c>
      <c r="H15" s="15">
        <v>59.4</v>
      </c>
      <c r="I15" s="5">
        <v>0</v>
      </c>
      <c r="J15" s="5">
        <v>0</v>
      </c>
      <c r="K15" s="8">
        <f t="shared" ref="K15:K46" si="0">IF(SUM($I$15:$I$65)=0,0,I15/SUM($I$15:$I$65)*100)</f>
        <v>0</v>
      </c>
      <c r="L15" s="8">
        <f t="shared" ref="L15:L46" si="1">IF(SUM($J$15:$J$65)=0,0,J15/SUM($J$15:$J$65)*100)</f>
        <v>0</v>
      </c>
      <c r="M15" s="8">
        <f t="shared" ref="M15:M46" si="2">IF(SUMPRODUCT($D$15:$D$65,$I$15:$I$65)=0,0,I15*D15/SUMPRODUCT($D$15:$D$65,$I$15:$I$65)*100)</f>
        <v>0</v>
      </c>
      <c r="N15" s="7">
        <f t="shared" ref="N15:N46" si="3">IF(J15=0,0,ABS(M15-J15)/J15*100)</f>
        <v>0</v>
      </c>
    </row>
    <row r="16" spans="1:14" x14ac:dyDescent="0.25">
      <c r="A16" s="9">
        <v>2</v>
      </c>
      <c r="B16" s="11" t="s">
        <v>71</v>
      </c>
      <c r="C16" s="12" t="s">
        <v>72</v>
      </c>
      <c r="D16" s="13">
        <v>34.082000000000001</v>
      </c>
      <c r="E16" s="14">
        <v>0.80059999999999998</v>
      </c>
      <c r="F16" s="15">
        <v>383.1</v>
      </c>
      <c r="G16" s="15">
        <v>1300</v>
      </c>
      <c r="H16" s="15">
        <v>672.4</v>
      </c>
      <c r="I16" s="5">
        <v>0</v>
      </c>
      <c r="J16" s="5">
        <v>0</v>
      </c>
      <c r="K16" s="8">
        <f t="shared" si="0"/>
        <v>0</v>
      </c>
      <c r="L16" s="8">
        <f t="shared" si="1"/>
        <v>0</v>
      </c>
      <c r="M16" s="8">
        <f t="shared" si="2"/>
        <v>0</v>
      </c>
      <c r="N16" s="7">
        <f t="shared" si="3"/>
        <v>0</v>
      </c>
    </row>
    <row r="17" spans="1:14" x14ac:dyDescent="0.25">
      <c r="A17" s="9">
        <v>3</v>
      </c>
      <c r="B17" s="11" t="s">
        <v>73</v>
      </c>
      <c r="C17" s="12" t="s">
        <v>74</v>
      </c>
      <c r="D17" s="13">
        <v>44.01</v>
      </c>
      <c r="E17" s="14">
        <v>0.81799999999999995</v>
      </c>
      <c r="F17" s="15">
        <v>350</v>
      </c>
      <c r="G17" s="15">
        <v>1071</v>
      </c>
      <c r="H17" s="15">
        <v>547.6</v>
      </c>
      <c r="I17" s="5">
        <v>4.71</v>
      </c>
      <c r="J17" s="5">
        <v>3.54</v>
      </c>
      <c r="K17" s="8">
        <f t="shared" si="0"/>
        <v>4.71</v>
      </c>
      <c r="L17" s="8">
        <f t="shared" si="1"/>
        <v>3.5399999999999987</v>
      </c>
      <c r="M17" s="8">
        <f t="shared" si="2"/>
        <v>7.9413844150267172</v>
      </c>
      <c r="N17" s="7">
        <f t="shared" si="3"/>
        <v>124.33289307985076</v>
      </c>
    </row>
    <row r="18" spans="1:14" x14ac:dyDescent="0.25">
      <c r="A18" s="9">
        <v>4</v>
      </c>
      <c r="B18" s="11" t="s">
        <v>75</v>
      </c>
      <c r="C18" s="12" t="s">
        <v>76</v>
      </c>
      <c r="D18" s="13">
        <v>28.013999999999999</v>
      </c>
      <c r="E18" s="14">
        <v>0.80940000000000001</v>
      </c>
      <c r="F18" s="15">
        <v>139.30000000000001</v>
      </c>
      <c r="G18" s="15">
        <v>493</v>
      </c>
      <c r="H18" s="15">
        <v>227.2</v>
      </c>
      <c r="I18" s="5">
        <v>0.87</v>
      </c>
      <c r="J18" s="5">
        <v>0.08</v>
      </c>
      <c r="K18" s="8">
        <f t="shared" si="0"/>
        <v>0.86999999999999988</v>
      </c>
      <c r="L18" s="8">
        <f t="shared" si="1"/>
        <v>7.9999999999999988E-2</v>
      </c>
      <c r="M18" s="8">
        <f t="shared" si="2"/>
        <v>0.93372356703444581</v>
      </c>
      <c r="N18" s="7">
        <f t="shared" si="3"/>
        <v>1067.1544587930573</v>
      </c>
    </row>
    <row r="19" spans="1:14" x14ac:dyDescent="0.25">
      <c r="A19" s="9">
        <v>5</v>
      </c>
      <c r="B19" s="11" t="s">
        <v>77</v>
      </c>
      <c r="C19" s="12" t="s">
        <v>78</v>
      </c>
      <c r="D19" s="13">
        <v>16.042999999999999</v>
      </c>
      <c r="E19" s="14">
        <v>0.3</v>
      </c>
      <c r="F19" s="15">
        <v>200.7</v>
      </c>
      <c r="G19" s="15">
        <v>666.4</v>
      </c>
      <c r="H19" s="15">
        <v>343</v>
      </c>
      <c r="I19" s="5">
        <v>62.51</v>
      </c>
      <c r="J19" s="5">
        <v>21.43</v>
      </c>
      <c r="K19" s="8">
        <f t="shared" si="0"/>
        <v>62.509999999999991</v>
      </c>
      <c r="L19" s="8">
        <f t="shared" si="1"/>
        <v>21.429999999999993</v>
      </c>
      <c r="M19" s="8">
        <f t="shared" si="2"/>
        <v>38.420147331617855</v>
      </c>
      <c r="N19" s="7">
        <f t="shared" si="3"/>
        <v>79.282068742967127</v>
      </c>
    </row>
    <row r="20" spans="1:14" x14ac:dyDescent="0.25">
      <c r="A20" s="9">
        <v>6</v>
      </c>
      <c r="B20" s="11" t="s">
        <v>79</v>
      </c>
      <c r="C20" s="12" t="s">
        <v>80</v>
      </c>
      <c r="D20" s="13">
        <v>30.07</v>
      </c>
      <c r="E20" s="14">
        <v>0.35620000000000002</v>
      </c>
      <c r="F20" s="15">
        <v>332.2</v>
      </c>
      <c r="G20" s="15">
        <v>706.5</v>
      </c>
      <c r="H20" s="15">
        <v>549.6</v>
      </c>
      <c r="I20" s="5">
        <v>14.17</v>
      </c>
      <c r="J20" s="5">
        <v>20.73</v>
      </c>
      <c r="K20" s="8">
        <f t="shared" si="0"/>
        <v>14.17</v>
      </c>
      <c r="L20" s="8">
        <f t="shared" si="1"/>
        <v>20.729999999999997</v>
      </c>
      <c r="M20" s="8">
        <f t="shared" si="2"/>
        <v>16.324023897430774</v>
      </c>
      <c r="N20" s="7">
        <f t="shared" si="3"/>
        <v>21.254105656387974</v>
      </c>
    </row>
    <row r="21" spans="1:14" x14ac:dyDescent="0.25">
      <c r="A21" s="9">
        <v>7</v>
      </c>
      <c r="B21" s="11" t="s">
        <v>81</v>
      </c>
      <c r="C21" s="12" t="s">
        <v>82</v>
      </c>
      <c r="D21" s="13">
        <v>44.097000000000001</v>
      </c>
      <c r="E21" s="14">
        <v>0.50700000000000001</v>
      </c>
      <c r="F21" s="15">
        <v>415.9</v>
      </c>
      <c r="G21" s="15">
        <v>616</v>
      </c>
      <c r="H21" s="15">
        <v>665.7</v>
      </c>
      <c r="I21" s="5">
        <v>9.98</v>
      </c>
      <c r="J21" s="5">
        <v>27.41</v>
      </c>
      <c r="K21" s="8">
        <f t="shared" si="0"/>
        <v>9.9799999999999986</v>
      </c>
      <c r="L21" s="8">
        <f t="shared" si="1"/>
        <v>27.409999999999989</v>
      </c>
      <c r="M21" s="8">
        <f t="shared" si="2"/>
        <v>16.860231345430289</v>
      </c>
      <c r="N21" s="7">
        <f t="shared" si="3"/>
        <v>38.48875831656224</v>
      </c>
    </row>
    <row r="22" spans="1:14" x14ac:dyDescent="0.25">
      <c r="A22" s="9">
        <v>8</v>
      </c>
      <c r="B22" s="11" t="s">
        <v>83</v>
      </c>
      <c r="C22" s="12" t="s">
        <v>84</v>
      </c>
      <c r="D22" s="13">
        <v>58.124000000000002</v>
      </c>
      <c r="E22" s="14">
        <v>0.56289999999999996</v>
      </c>
      <c r="F22" s="15">
        <v>470.6</v>
      </c>
      <c r="G22" s="15">
        <v>527.9</v>
      </c>
      <c r="H22" s="15">
        <v>734.1</v>
      </c>
      <c r="I22" s="5">
        <v>1.77</v>
      </c>
      <c r="J22" s="5">
        <v>5.98</v>
      </c>
      <c r="K22" s="8">
        <f t="shared" si="0"/>
        <v>1.7699999999999998</v>
      </c>
      <c r="L22" s="8">
        <f t="shared" si="1"/>
        <v>5.9799999999999986</v>
      </c>
      <c r="M22" s="8">
        <f t="shared" si="2"/>
        <v>3.9414198910499154</v>
      </c>
      <c r="N22" s="7">
        <f t="shared" si="3"/>
        <v>34.089968377091722</v>
      </c>
    </row>
    <row r="23" spans="1:14" x14ac:dyDescent="0.25">
      <c r="A23" s="9">
        <v>9</v>
      </c>
      <c r="B23" s="11" t="s">
        <v>85</v>
      </c>
      <c r="C23" s="12" t="s">
        <v>86</v>
      </c>
      <c r="D23" s="13">
        <v>58.124000000000002</v>
      </c>
      <c r="E23" s="14">
        <v>0.58399999999999996</v>
      </c>
      <c r="F23" s="15">
        <v>490.7</v>
      </c>
      <c r="G23" s="15">
        <v>550.6</v>
      </c>
      <c r="H23" s="15">
        <v>765.3</v>
      </c>
      <c r="I23" s="5">
        <v>3.25</v>
      </c>
      <c r="J23" s="5">
        <v>11.41</v>
      </c>
      <c r="K23" s="8">
        <f t="shared" si="0"/>
        <v>3.2499999999999996</v>
      </c>
      <c r="L23" s="8">
        <f t="shared" si="1"/>
        <v>11.409999999999997</v>
      </c>
      <c r="M23" s="8">
        <f t="shared" si="2"/>
        <v>7.2370704214193369</v>
      </c>
      <c r="N23" s="7">
        <f t="shared" si="3"/>
        <v>36.572564229453661</v>
      </c>
    </row>
    <row r="24" spans="1:14" x14ac:dyDescent="0.25">
      <c r="A24" s="9">
        <v>10</v>
      </c>
      <c r="B24" s="11" t="s">
        <v>87</v>
      </c>
      <c r="C24" s="12" t="s">
        <v>88</v>
      </c>
      <c r="D24" s="13">
        <v>72.150999999999996</v>
      </c>
      <c r="E24" s="14">
        <v>0.59670000000000001</v>
      </c>
      <c r="F24" s="15">
        <v>482.6</v>
      </c>
      <c r="G24" s="15">
        <v>464</v>
      </c>
      <c r="H24" s="15">
        <v>734.6</v>
      </c>
      <c r="I24" s="5">
        <v>0.01</v>
      </c>
      <c r="J24" s="5">
        <v>0.05</v>
      </c>
      <c r="K24" s="8">
        <f t="shared" si="0"/>
        <v>9.9999999999999985E-3</v>
      </c>
      <c r="L24" s="8">
        <f t="shared" si="1"/>
        <v>4.9999999999999989E-2</v>
      </c>
      <c r="M24" s="8">
        <f t="shared" si="2"/>
        <v>2.7641798593766455E-2</v>
      </c>
      <c r="N24" s="7">
        <f t="shared" si="3"/>
        <v>44.716402812467095</v>
      </c>
    </row>
    <row r="25" spans="1:14" x14ac:dyDescent="0.25">
      <c r="A25" s="9">
        <v>11</v>
      </c>
      <c r="B25" s="11" t="s">
        <v>89</v>
      </c>
      <c r="C25" s="12" t="s">
        <v>90</v>
      </c>
      <c r="D25" s="13">
        <v>72.150999999999996</v>
      </c>
      <c r="E25" s="14">
        <v>0.62439999999999996</v>
      </c>
      <c r="F25" s="15">
        <v>541.70000000000005</v>
      </c>
      <c r="G25" s="15">
        <v>490.4</v>
      </c>
      <c r="H25" s="15">
        <v>828.7</v>
      </c>
      <c r="I25" s="5">
        <v>0.86</v>
      </c>
      <c r="J25" s="5">
        <v>3.2</v>
      </c>
      <c r="K25" s="8">
        <f t="shared" si="0"/>
        <v>0.85999999999999988</v>
      </c>
      <c r="L25" s="8">
        <f t="shared" si="1"/>
        <v>3.1999999999999993</v>
      </c>
      <c r="M25" s="8">
        <f t="shared" si="2"/>
        <v>2.3771946790639151</v>
      </c>
      <c r="N25" s="7">
        <f t="shared" si="3"/>
        <v>25.712666279252655</v>
      </c>
    </row>
    <row r="26" spans="1:14" x14ac:dyDescent="0.25">
      <c r="A26" s="9">
        <v>12</v>
      </c>
      <c r="B26" s="11" t="s">
        <v>91</v>
      </c>
      <c r="C26" s="12" t="s">
        <v>92</v>
      </c>
      <c r="D26" s="13">
        <v>72.150999999999996</v>
      </c>
      <c r="E26" s="14">
        <v>0.63109999999999999</v>
      </c>
      <c r="F26" s="15">
        <v>556.6</v>
      </c>
      <c r="G26" s="15">
        <v>488.6</v>
      </c>
      <c r="H26" s="15">
        <v>845.5</v>
      </c>
      <c r="I26" s="5">
        <v>0.88</v>
      </c>
      <c r="J26" s="5">
        <v>3.2</v>
      </c>
      <c r="K26" s="8">
        <f t="shared" si="0"/>
        <v>0.87999999999999989</v>
      </c>
      <c r="L26" s="8">
        <f t="shared" si="1"/>
        <v>3.1999999999999993</v>
      </c>
      <c r="M26" s="8">
        <f t="shared" si="2"/>
        <v>2.4324782762514481</v>
      </c>
      <c r="N26" s="7">
        <f t="shared" si="3"/>
        <v>23.985053867142252</v>
      </c>
    </row>
    <row r="27" spans="1:14" x14ac:dyDescent="0.25">
      <c r="A27" s="9">
        <v>13</v>
      </c>
      <c r="B27" s="11" t="s">
        <v>93</v>
      </c>
      <c r="C27" s="12" t="s">
        <v>94</v>
      </c>
      <c r="D27" s="13">
        <v>86.177999999999997</v>
      </c>
      <c r="E27" s="14">
        <v>0.66400000000000003</v>
      </c>
      <c r="F27" s="15">
        <v>615.4</v>
      </c>
      <c r="G27" s="15">
        <v>436.9</v>
      </c>
      <c r="H27" s="15">
        <v>913.3</v>
      </c>
      <c r="I27" s="5">
        <v>0.55000000000000004</v>
      </c>
      <c r="J27" s="5">
        <v>1.84</v>
      </c>
      <c r="K27" s="8">
        <f t="shared" si="0"/>
        <v>0.54999999999999993</v>
      </c>
      <c r="L27" s="8">
        <f t="shared" si="1"/>
        <v>1.8399999999999996</v>
      </c>
      <c r="M27" s="8">
        <f t="shared" si="2"/>
        <v>1.8158628509202686</v>
      </c>
      <c r="N27" s="7">
        <f t="shared" si="3"/>
        <v>1.3118015804201915</v>
      </c>
    </row>
    <row r="28" spans="1:14" x14ac:dyDescent="0.25">
      <c r="A28" s="9">
        <v>14</v>
      </c>
      <c r="B28" s="11" t="s">
        <v>95</v>
      </c>
      <c r="C28" s="12" t="s">
        <v>96</v>
      </c>
      <c r="D28" s="13">
        <v>84.161000000000001</v>
      </c>
      <c r="E28" s="14">
        <v>0.75360000000000005</v>
      </c>
      <c r="F28" s="15">
        <v>621</v>
      </c>
      <c r="G28" s="15">
        <v>548.9</v>
      </c>
      <c r="H28" s="15">
        <v>959.2</v>
      </c>
      <c r="I28" s="5">
        <v>0.06</v>
      </c>
      <c r="J28" s="5">
        <v>0.18</v>
      </c>
      <c r="K28" s="8">
        <f t="shared" si="0"/>
        <v>5.9999999999999984E-2</v>
      </c>
      <c r="L28" s="8">
        <f t="shared" si="1"/>
        <v>0.17999999999999994</v>
      </c>
      <c r="M28" s="8">
        <f t="shared" si="2"/>
        <v>0.1934577271098096</v>
      </c>
      <c r="N28" s="7">
        <f t="shared" si="3"/>
        <v>7.4765150610053386</v>
      </c>
    </row>
    <row r="29" spans="1:14" x14ac:dyDescent="0.25">
      <c r="A29" s="9">
        <v>15</v>
      </c>
      <c r="B29" s="11" t="s">
        <v>97</v>
      </c>
      <c r="C29" s="12" t="s">
        <v>97</v>
      </c>
      <c r="D29" s="13">
        <v>78.114000000000004</v>
      </c>
      <c r="E29" s="14">
        <v>0.88439999999999996</v>
      </c>
      <c r="F29" s="15">
        <v>636.29999999999995</v>
      </c>
      <c r="G29" s="15">
        <v>710.4</v>
      </c>
      <c r="H29" s="15">
        <v>1012</v>
      </c>
      <c r="I29" s="5">
        <v>0.02</v>
      </c>
      <c r="J29" s="5">
        <v>0.05</v>
      </c>
      <c r="K29" s="8">
        <f t="shared" si="0"/>
        <v>1.9999999999999997E-2</v>
      </c>
      <c r="L29" s="8">
        <f t="shared" si="1"/>
        <v>4.9999999999999989E-2</v>
      </c>
      <c r="M29" s="8">
        <f t="shared" si="2"/>
        <v>5.9852571838324431E-2</v>
      </c>
      <c r="N29" s="7">
        <f t="shared" si="3"/>
        <v>19.705143676648856</v>
      </c>
    </row>
    <row r="30" spans="1:14" x14ac:dyDescent="0.25">
      <c r="A30" s="9">
        <v>16</v>
      </c>
      <c r="B30" s="11" t="s">
        <v>98</v>
      </c>
      <c r="C30" s="12" t="s">
        <v>99</v>
      </c>
      <c r="D30" s="13">
        <v>84.161000000000001</v>
      </c>
      <c r="E30" s="14">
        <v>0.78339999999999999</v>
      </c>
      <c r="F30" s="15">
        <v>637.20000000000005</v>
      </c>
      <c r="G30" s="15">
        <v>590.79999999999995</v>
      </c>
      <c r="H30" s="15">
        <v>996.5</v>
      </c>
      <c r="I30" s="5">
        <v>0.06</v>
      </c>
      <c r="J30" s="5">
        <v>0.18</v>
      </c>
      <c r="K30" s="8">
        <f t="shared" si="0"/>
        <v>5.9999999999999984E-2</v>
      </c>
      <c r="L30" s="8">
        <f t="shared" si="1"/>
        <v>0.17999999999999994</v>
      </c>
      <c r="M30" s="8">
        <f t="shared" si="2"/>
        <v>0.1934577271098096</v>
      </c>
      <c r="N30" s="7">
        <f t="shared" si="3"/>
        <v>7.4765150610053386</v>
      </c>
    </row>
    <row r="31" spans="1:14" x14ac:dyDescent="0.25">
      <c r="A31" s="9">
        <v>17</v>
      </c>
      <c r="B31" s="11" t="s">
        <v>100</v>
      </c>
      <c r="C31" s="12" t="s">
        <v>101</v>
      </c>
      <c r="D31" s="13">
        <v>100.205</v>
      </c>
      <c r="E31" s="14">
        <v>0.72199999999999998</v>
      </c>
      <c r="F31" s="15">
        <v>668.8</v>
      </c>
      <c r="G31" s="15">
        <v>396.8</v>
      </c>
      <c r="H31" s="15">
        <v>972.4</v>
      </c>
      <c r="I31" s="5">
        <v>0.13</v>
      </c>
      <c r="J31" s="5">
        <v>0.37</v>
      </c>
      <c r="K31" s="8">
        <f t="shared" si="0"/>
        <v>0.13</v>
      </c>
      <c r="L31" s="8">
        <f t="shared" si="1"/>
        <v>0.36999999999999988</v>
      </c>
      <c r="M31" s="8">
        <f t="shared" si="2"/>
        <v>0.4990645114433449</v>
      </c>
      <c r="N31" s="7">
        <f t="shared" si="3"/>
        <v>34.882300390093221</v>
      </c>
    </row>
    <row r="32" spans="1:14" x14ac:dyDescent="0.25">
      <c r="A32" s="9">
        <v>18</v>
      </c>
      <c r="B32" s="11" t="s">
        <v>102</v>
      </c>
      <c r="C32" s="12" t="s">
        <v>103</v>
      </c>
      <c r="D32" s="13">
        <v>98.188999999999993</v>
      </c>
      <c r="E32" s="14">
        <v>0.7702</v>
      </c>
      <c r="F32" s="15">
        <v>675</v>
      </c>
      <c r="G32" s="15">
        <v>503.5</v>
      </c>
      <c r="H32" s="15">
        <v>1029.8</v>
      </c>
      <c r="I32" s="5">
        <v>0.02</v>
      </c>
      <c r="J32" s="5">
        <v>7.0000000000000007E-2</v>
      </c>
      <c r="K32" s="8">
        <f t="shared" si="0"/>
        <v>1.9999999999999997E-2</v>
      </c>
      <c r="L32" s="8">
        <f t="shared" si="1"/>
        <v>6.9999999999999993E-2</v>
      </c>
      <c r="M32" s="8">
        <f t="shared" si="2"/>
        <v>7.5234454466974382E-2</v>
      </c>
      <c r="N32" s="7">
        <f t="shared" si="3"/>
        <v>7.4777920956776782</v>
      </c>
    </row>
    <row r="33" spans="1:14" x14ac:dyDescent="0.25">
      <c r="A33" s="9">
        <v>19</v>
      </c>
      <c r="B33" s="11" t="s">
        <v>104</v>
      </c>
      <c r="C33" s="12" t="s">
        <v>104</v>
      </c>
      <c r="D33" s="13">
        <v>92.141000000000005</v>
      </c>
      <c r="E33" s="14">
        <v>0.87180000000000002</v>
      </c>
      <c r="F33" s="15">
        <v>690.5</v>
      </c>
      <c r="G33" s="15">
        <v>595.9</v>
      </c>
      <c r="H33" s="15">
        <v>1065.5999999999999</v>
      </c>
      <c r="I33" s="5">
        <v>0.03</v>
      </c>
      <c r="J33" s="5">
        <v>0.05</v>
      </c>
      <c r="K33" s="8">
        <f t="shared" si="0"/>
        <v>2.9999999999999992E-2</v>
      </c>
      <c r="L33" s="8">
        <f t="shared" si="1"/>
        <v>4.9999999999999989E-2</v>
      </c>
      <c r="M33" s="8">
        <f t="shared" si="2"/>
        <v>0.10590052657183831</v>
      </c>
      <c r="N33" s="7">
        <f t="shared" si="3"/>
        <v>111.80105314367661</v>
      </c>
    </row>
    <row r="34" spans="1:14" x14ac:dyDescent="0.25">
      <c r="A34" s="9">
        <v>20</v>
      </c>
      <c r="B34" s="11" t="s">
        <v>105</v>
      </c>
      <c r="C34" s="12" t="s">
        <v>106</v>
      </c>
      <c r="D34" s="13">
        <v>114.232</v>
      </c>
      <c r="E34" s="14">
        <v>0.745</v>
      </c>
      <c r="F34" s="15">
        <v>717.9</v>
      </c>
      <c r="G34" s="15">
        <v>360.7</v>
      </c>
      <c r="H34" s="15">
        <v>1023.9</v>
      </c>
      <c r="I34" s="5">
        <v>0.05</v>
      </c>
      <c r="J34" s="5">
        <v>0.15</v>
      </c>
      <c r="K34" s="8">
        <f t="shared" si="0"/>
        <v>0.05</v>
      </c>
      <c r="L34" s="8">
        <f t="shared" si="1"/>
        <v>0.14999999999999997</v>
      </c>
      <c r="M34" s="8">
        <f t="shared" si="2"/>
        <v>0.21881733704059059</v>
      </c>
      <c r="N34" s="7">
        <f t="shared" si="3"/>
        <v>45.878224693727063</v>
      </c>
    </row>
    <row r="35" spans="1:14" x14ac:dyDescent="0.25">
      <c r="A35" s="9">
        <v>21</v>
      </c>
      <c r="B35" s="11" t="s">
        <v>107</v>
      </c>
      <c r="C35" s="12" t="s">
        <v>107</v>
      </c>
      <c r="D35" s="13">
        <v>106.16800000000001</v>
      </c>
      <c r="E35" s="14">
        <v>0.872</v>
      </c>
      <c r="F35" s="15">
        <v>735.5</v>
      </c>
      <c r="G35" s="15">
        <v>523.5</v>
      </c>
      <c r="H35" s="15">
        <v>1111.0999999999999</v>
      </c>
      <c r="I35" s="5">
        <v>0.01</v>
      </c>
      <c r="J35" s="5">
        <v>0.01</v>
      </c>
      <c r="K35" s="8">
        <f t="shared" si="0"/>
        <v>9.9999999999999985E-3</v>
      </c>
      <c r="L35" s="8">
        <f t="shared" si="1"/>
        <v>9.9999999999999985E-3</v>
      </c>
      <c r="M35" s="8">
        <f t="shared" si="2"/>
        <v>4.0674065128729994E-2</v>
      </c>
      <c r="N35" s="7">
        <f t="shared" si="3"/>
        <v>306.7406512872999</v>
      </c>
    </row>
    <row r="36" spans="1:14" x14ac:dyDescent="0.25">
      <c r="A36" s="9">
        <v>22</v>
      </c>
      <c r="B36" s="11" t="s">
        <v>108</v>
      </c>
      <c r="C36" s="12" t="s">
        <v>108</v>
      </c>
      <c r="D36" s="13">
        <v>106.16800000000001</v>
      </c>
      <c r="E36" s="14">
        <v>0.86870000000000003</v>
      </c>
      <c r="F36" s="15">
        <v>738.4</v>
      </c>
      <c r="G36" s="15">
        <v>513.6</v>
      </c>
      <c r="H36" s="15">
        <v>1112.8</v>
      </c>
      <c r="I36" s="5">
        <v>0.01</v>
      </c>
      <c r="J36" s="5">
        <v>0.01</v>
      </c>
      <c r="K36" s="8">
        <f t="shared" si="0"/>
        <v>9.9999999999999985E-3</v>
      </c>
      <c r="L36" s="8">
        <f t="shared" si="1"/>
        <v>9.9999999999999985E-3</v>
      </c>
      <c r="M36" s="8">
        <f t="shared" si="2"/>
        <v>4.0674065128729994E-2</v>
      </c>
      <c r="N36" s="7">
        <f t="shared" si="3"/>
        <v>306.7406512872999</v>
      </c>
    </row>
    <row r="37" spans="1:14" x14ac:dyDescent="0.25">
      <c r="A37" s="9">
        <v>23</v>
      </c>
      <c r="B37" s="11" t="s">
        <v>109</v>
      </c>
      <c r="C37" s="12" t="s">
        <v>109</v>
      </c>
      <c r="D37" s="13">
        <v>106.16800000000001</v>
      </c>
      <c r="E37" s="14">
        <v>0.88480000000000003</v>
      </c>
      <c r="F37" s="15">
        <v>751.9</v>
      </c>
      <c r="G37" s="15">
        <v>541.4</v>
      </c>
      <c r="H37" s="15">
        <v>1135.4000000000001</v>
      </c>
      <c r="I37" s="5">
        <v>0</v>
      </c>
      <c r="J37" s="5">
        <v>0</v>
      </c>
      <c r="K37" s="8">
        <f t="shared" si="0"/>
        <v>0</v>
      </c>
      <c r="L37" s="8">
        <f t="shared" si="1"/>
        <v>0</v>
      </c>
      <c r="M37" s="8">
        <f t="shared" si="2"/>
        <v>0</v>
      </c>
      <c r="N37" s="7">
        <f t="shared" si="3"/>
        <v>0</v>
      </c>
    </row>
    <row r="38" spans="1:14" x14ac:dyDescent="0.25">
      <c r="A38" s="9">
        <v>24</v>
      </c>
      <c r="B38" s="11" t="s">
        <v>110</v>
      </c>
      <c r="C38" s="12" t="s">
        <v>111</v>
      </c>
      <c r="D38" s="13">
        <v>128.25899999999999</v>
      </c>
      <c r="E38" s="14">
        <v>0.76400000000000001</v>
      </c>
      <c r="F38" s="15">
        <v>763.1</v>
      </c>
      <c r="G38" s="15">
        <v>331.8</v>
      </c>
      <c r="H38" s="15">
        <v>1070.4000000000001</v>
      </c>
      <c r="I38" s="5">
        <v>0.03</v>
      </c>
      <c r="J38" s="5">
        <v>0.05</v>
      </c>
      <c r="K38" s="8">
        <f t="shared" si="0"/>
        <v>2.9999999999999992E-2</v>
      </c>
      <c r="L38" s="8">
        <f t="shared" si="1"/>
        <v>4.9999999999999989E-2</v>
      </c>
      <c r="M38" s="8">
        <f t="shared" si="2"/>
        <v>0.14741207103870596</v>
      </c>
      <c r="N38" s="7">
        <f t="shared" si="3"/>
        <v>194.82414207741189</v>
      </c>
    </row>
    <row r="39" spans="1:14" x14ac:dyDescent="0.25">
      <c r="A39" s="9">
        <v>25</v>
      </c>
      <c r="B39" s="11" t="s">
        <v>112</v>
      </c>
      <c r="C39" s="12" t="s">
        <v>113</v>
      </c>
      <c r="D39" s="13">
        <v>142.286</v>
      </c>
      <c r="E39" s="14">
        <v>0.77800000000000002</v>
      </c>
      <c r="F39" s="15">
        <v>805.2</v>
      </c>
      <c r="G39" s="15">
        <v>305.7</v>
      </c>
      <c r="H39" s="15">
        <v>1111.8</v>
      </c>
      <c r="I39" s="5">
        <v>0.01</v>
      </c>
      <c r="J39" s="5">
        <v>0.01</v>
      </c>
      <c r="K39" s="8">
        <f t="shared" si="0"/>
        <v>9.9999999999999985E-3</v>
      </c>
      <c r="L39" s="8">
        <f t="shared" si="1"/>
        <v>9.9999999999999985E-3</v>
      </c>
      <c r="M39" s="8">
        <f t="shared" si="2"/>
        <v>5.4511246617685874E-2</v>
      </c>
      <c r="N39" s="7">
        <f t="shared" si="3"/>
        <v>445.11246617685867</v>
      </c>
    </row>
    <row r="40" spans="1:14" x14ac:dyDescent="0.25">
      <c r="A40" s="9">
        <v>26</v>
      </c>
      <c r="B40" s="11" t="s">
        <v>114</v>
      </c>
      <c r="C40" s="12" t="s">
        <v>114</v>
      </c>
      <c r="D40" s="13">
        <v>156</v>
      </c>
      <c r="E40" s="14">
        <v>0.78900000000000003</v>
      </c>
      <c r="F40" s="15">
        <v>847</v>
      </c>
      <c r="G40" s="15">
        <v>285</v>
      </c>
      <c r="H40" s="15">
        <v>1150</v>
      </c>
      <c r="I40" s="5">
        <v>0.01</v>
      </c>
      <c r="J40" s="5">
        <v>0</v>
      </c>
      <c r="K40" s="8">
        <f t="shared" si="0"/>
        <v>9.9999999999999985E-3</v>
      </c>
      <c r="L40" s="8">
        <f t="shared" si="1"/>
        <v>0</v>
      </c>
      <c r="M40" s="8">
        <f t="shared" si="2"/>
        <v>5.9765222666734584E-2</v>
      </c>
      <c r="N40" s="7">
        <f t="shared" si="3"/>
        <v>0</v>
      </c>
    </row>
    <row r="41" spans="1:14" x14ac:dyDescent="0.25">
      <c r="A41" s="9">
        <v>27</v>
      </c>
      <c r="B41" s="11" t="s">
        <v>115</v>
      </c>
      <c r="C41" s="12" t="s">
        <v>115</v>
      </c>
      <c r="D41" s="13">
        <v>170</v>
      </c>
      <c r="E41" s="14">
        <v>0.8</v>
      </c>
      <c r="F41" s="15">
        <v>885</v>
      </c>
      <c r="G41" s="15">
        <v>264</v>
      </c>
      <c r="H41" s="15">
        <v>1185</v>
      </c>
      <c r="I41" s="5">
        <v>0</v>
      </c>
      <c r="J41" s="5">
        <v>0</v>
      </c>
      <c r="K41" s="8">
        <f t="shared" si="0"/>
        <v>0</v>
      </c>
      <c r="L41" s="8">
        <f t="shared" si="1"/>
        <v>0</v>
      </c>
      <c r="M41" s="8">
        <f t="shared" si="2"/>
        <v>0</v>
      </c>
      <c r="N41" s="7">
        <f t="shared" si="3"/>
        <v>0</v>
      </c>
    </row>
    <row r="42" spans="1:14" x14ac:dyDescent="0.25">
      <c r="A42" s="9">
        <v>28</v>
      </c>
      <c r="B42" s="11" t="s">
        <v>116</v>
      </c>
      <c r="C42" s="12" t="s">
        <v>116</v>
      </c>
      <c r="D42" s="13">
        <v>184</v>
      </c>
      <c r="E42" s="14">
        <v>0.81100000000000005</v>
      </c>
      <c r="F42" s="15">
        <v>923</v>
      </c>
      <c r="G42" s="15">
        <v>246</v>
      </c>
      <c r="H42" s="15">
        <v>1220</v>
      </c>
      <c r="I42" s="5">
        <v>0</v>
      </c>
      <c r="J42" s="5">
        <v>0</v>
      </c>
      <c r="K42" s="8">
        <f t="shared" si="0"/>
        <v>0</v>
      </c>
      <c r="L42" s="8">
        <f t="shared" si="1"/>
        <v>0</v>
      </c>
      <c r="M42" s="8">
        <f t="shared" si="2"/>
        <v>0</v>
      </c>
      <c r="N42" s="7">
        <f t="shared" si="3"/>
        <v>0</v>
      </c>
    </row>
    <row r="43" spans="1:14" x14ac:dyDescent="0.25">
      <c r="A43" s="9">
        <v>29</v>
      </c>
      <c r="B43" s="11" t="s">
        <v>117</v>
      </c>
      <c r="C43" s="12" t="s">
        <v>117</v>
      </c>
      <c r="D43" s="13">
        <v>198</v>
      </c>
      <c r="E43" s="14">
        <v>0.82199999999999995</v>
      </c>
      <c r="F43" s="15">
        <v>958</v>
      </c>
      <c r="G43" s="15">
        <v>230</v>
      </c>
      <c r="H43" s="15">
        <v>1250</v>
      </c>
      <c r="I43" s="5">
        <v>0</v>
      </c>
      <c r="J43" s="5">
        <v>0</v>
      </c>
      <c r="K43" s="8">
        <f t="shared" si="0"/>
        <v>0</v>
      </c>
      <c r="L43" s="8">
        <f t="shared" si="1"/>
        <v>0</v>
      </c>
      <c r="M43" s="8">
        <f t="shared" si="2"/>
        <v>0</v>
      </c>
      <c r="N43" s="7">
        <f t="shared" si="3"/>
        <v>0</v>
      </c>
    </row>
    <row r="44" spans="1:14" x14ac:dyDescent="0.25">
      <c r="A44" s="9">
        <v>30</v>
      </c>
      <c r="B44" s="11" t="s">
        <v>118</v>
      </c>
      <c r="C44" s="12" t="s">
        <v>118</v>
      </c>
      <c r="D44" s="13">
        <v>212</v>
      </c>
      <c r="E44" s="14">
        <v>0.83199999999999996</v>
      </c>
      <c r="F44" s="15">
        <v>991</v>
      </c>
      <c r="G44" s="15">
        <v>217</v>
      </c>
      <c r="H44" s="15">
        <v>1280</v>
      </c>
      <c r="I44" s="5">
        <v>0</v>
      </c>
      <c r="J44" s="5">
        <v>0</v>
      </c>
      <c r="K44" s="8">
        <f t="shared" si="0"/>
        <v>0</v>
      </c>
      <c r="L44" s="8">
        <f t="shared" si="1"/>
        <v>0</v>
      </c>
      <c r="M44" s="8">
        <f t="shared" si="2"/>
        <v>0</v>
      </c>
      <c r="N44" s="7">
        <f t="shared" si="3"/>
        <v>0</v>
      </c>
    </row>
    <row r="45" spans="1:14" x14ac:dyDescent="0.25">
      <c r="A45" s="9">
        <v>31</v>
      </c>
      <c r="B45" s="11" t="s">
        <v>119</v>
      </c>
      <c r="C45" s="12" t="s">
        <v>119</v>
      </c>
      <c r="D45" s="13">
        <v>226</v>
      </c>
      <c r="E45" s="14">
        <v>0.83899999999999997</v>
      </c>
      <c r="F45" s="15">
        <v>1020</v>
      </c>
      <c r="G45" s="15">
        <v>205</v>
      </c>
      <c r="H45" s="15">
        <v>1305</v>
      </c>
      <c r="I45" s="5">
        <v>0</v>
      </c>
      <c r="J45" s="5">
        <v>0</v>
      </c>
      <c r="K45" s="8">
        <f t="shared" si="0"/>
        <v>0</v>
      </c>
      <c r="L45" s="8">
        <f t="shared" si="1"/>
        <v>0</v>
      </c>
      <c r="M45" s="8">
        <f t="shared" si="2"/>
        <v>0</v>
      </c>
      <c r="N45" s="7">
        <f t="shared" si="3"/>
        <v>0</v>
      </c>
    </row>
    <row r="46" spans="1:14" x14ac:dyDescent="0.25">
      <c r="A46" s="9">
        <v>32</v>
      </c>
      <c r="B46" s="11" t="s">
        <v>120</v>
      </c>
      <c r="C46" s="12" t="s">
        <v>120</v>
      </c>
      <c r="D46" s="13">
        <v>240</v>
      </c>
      <c r="E46" s="14">
        <v>0.84699999999999998</v>
      </c>
      <c r="F46" s="15">
        <v>1049</v>
      </c>
      <c r="G46" s="15">
        <v>193</v>
      </c>
      <c r="H46" s="15">
        <v>1332</v>
      </c>
      <c r="I46" s="5">
        <v>0</v>
      </c>
      <c r="J46" s="5">
        <v>0</v>
      </c>
      <c r="K46" s="8">
        <f t="shared" si="0"/>
        <v>0</v>
      </c>
      <c r="L46" s="8">
        <f t="shared" si="1"/>
        <v>0</v>
      </c>
      <c r="M46" s="8">
        <f t="shared" si="2"/>
        <v>0</v>
      </c>
      <c r="N46" s="7">
        <f t="shared" si="3"/>
        <v>0</v>
      </c>
    </row>
    <row r="47" spans="1:14" x14ac:dyDescent="0.25">
      <c r="A47" s="9">
        <v>33</v>
      </c>
      <c r="B47" s="11" t="s">
        <v>121</v>
      </c>
      <c r="C47" s="12" t="s">
        <v>121</v>
      </c>
      <c r="D47" s="13">
        <v>254</v>
      </c>
      <c r="E47" s="14">
        <v>0.85199999999999998</v>
      </c>
      <c r="F47" s="15">
        <v>1075</v>
      </c>
      <c r="G47" s="15">
        <v>186</v>
      </c>
      <c r="H47" s="15">
        <v>1354</v>
      </c>
      <c r="I47" s="5">
        <v>0</v>
      </c>
      <c r="J47" s="5">
        <v>0</v>
      </c>
      <c r="K47" s="8">
        <f t="shared" ref="K47:K65" si="4">IF(SUM($I$15:$I$65)=0,0,I47/SUM($I$15:$I$65)*100)</f>
        <v>0</v>
      </c>
      <c r="L47" s="8">
        <f t="shared" ref="L47:L65" si="5">IF(SUM($J$15:$J$65)=0,0,J47/SUM($J$15:$J$65)*100)</f>
        <v>0</v>
      </c>
      <c r="M47" s="8">
        <f t="shared" ref="M47:M65" si="6">IF(SUMPRODUCT($D$15:$D$65,$I$15:$I$65)=0,0,I47*D47/SUMPRODUCT($D$15:$D$65,$I$15:$I$65)*100)</f>
        <v>0</v>
      </c>
      <c r="N47" s="7">
        <f t="shared" ref="N47:N78" si="7">IF(J47=0,0,ABS(M47-J47)/J47*100)</f>
        <v>0</v>
      </c>
    </row>
    <row r="48" spans="1:14" x14ac:dyDescent="0.25">
      <c r="A48" s="9">
        <v>34</v>
      </c>
      <c r="B48" s="11" t="s">
        <v>122</v>
      </c>
      <c r="C48" s="12" t="s">
        <v>122</v>
      </c>
      <c r="D48" s="13">
        <v>268</v>
      </c>
      <c r="E48" s="14">
        <v>0.85699999999999998</v>
      </c>
      <c r="F48" s="15">
        <v>1101</v>
      </c>
      <c r="G48" s="15">
        <v>175</v>
      </c>
      <c r="H48" s="15">
        <v>1381</v>
      </c>
      <c r="I48" s="5">
        <v>0</v>
      </c>
      <c r="J48" s="5">
        <v>0</v>
      </c>
      <c r="K48" s="8">
        <f t="shared" si="4"/>
        <v>0</v>
      </c>
      <c r="L48" s="8">
        <f t="shared" si="5"/>
        <v>0</v>
      </c>
      <c r="M48" s="8">
        <f t="shared" si="6"/>
        <v>0</v>
      </c>
      <c r="N48" s="7">
        <f t="shared" si="7"/>
        <v>0</v>
      </c>
    </row>
    <row r="49" spans="1:14" x14ac:dyDescent="0.25">
      <c r="A49" s="9">
        <v>35</v>
      </c>
      <c r="B49" s="11" t="s">
        <v>123</v>
      </c>
      <c r="C49" s="12" t="s">
        <v>123</v>
      </c>
      <c r="D49" s="13">
        <v>282</v>
      </c>
      <c r="E49" s="14">
        <v>0.86199999999999999</v>
      </c>
      <c r="F49" s="15">
        <v>1124</v>
      </c>
      <c r="G49" s="15">
        <v>167</v>
      </c>
      <c r="H49" s="15">
        <v>1402</v>
      </c>
      <c r="I49" s="5">
        <v>0</v>
      </c>
      <c r="J49" s="5">
        <v>0</v>
      </c>
      <c r="K49" s="8">
        <f t="shared" si="4"/>
        <v>0</v>
      </c>
      <c r="L49" s="8">
        <f t="shared" si="5"/>
        <v>0</v>
      </c>
      <c r="M49" s="8">
        <f t="shared" si="6"/>
        <v>0</v>
      </c>
      <c r="N49" s="7">
        <f t="shared" si="7"/>
        <v>0</v>
      </c>
    </row>
    <row r="50" spans="1:14" x14ac:dyDescent="0.25">
      <c r="A50" s="9">
        <v>36</v>
      </c>
      <c r="B50" s="11" t="s">
        <v>124</v>
      </c>
      <c r="C50" s="12" t="s">
        <v>124</v>
      </c>
      <c r="D50" s="13">
        <v>296</v>
      </c>
      <c r="E50" s="14">
        <v>0.86699999999999999</v>
      </c>
      <c r="F50" s="15">
        <v>1146</v>
      </c>
      <c r="G50" s="15">
        <v>159</v>
      </c>
      <c r="H50" s="15">
        <v>1424</v>
      </c>
      <c r="I50" s="5">
        <v>0</v>
      </c>
      <c r="J50" s="5">
        <v>0</v>
      </c>
      <c r="K50" s="8">
        <f t="shared" si="4"/>
        <v>0</v>
      </c>
      <c r="L50" s="8">
        <f t="shared" si="5"/>
        <v>0</v>
      </c>
      <c r="M50" s="8">
        <f t="shared" si="6"/>
        <v>0</v>
      </c>
      <c r="N50" s="7">
        <f t="shared" si="7"/>
        <v>0</v>
      </c>
    </row>
    <row r="51" spans="1:14" x14ac:dyDescent="0.25">
      <c r="A51" s="9">
        <v>37</v>
      </c>
      <c r="B51" s="11" t="s">
        <v>125</v>
      </c>
      <c r="C51" s="12" t="s">
        <v>125</v>
      </c>
      <c r="D51" s="13">
        <v>310</v>
      </c>
      <c r="E51" s="14">
        <v>0.872</v>
      </c>
      <c r="F51" s="15">
        <v>1167</v>
      </c>
      <c r="G51" s="15">
        <v>152</v>
      </c>
      <c r="H51" s="15">
        <v>1442</v>
      </c>
      <c r="I51" s="5">
        <v>0</v>
      </c>
      <c r="J51" s="5">
        <v>0</v>
      </c>
      <c r="K51" s="8">
        <f t="shared" si="4"/>
        <v>0</v>
      </c>
      <c r="L51" s="8">
        <f t="shared" si="5"/>
        <v>0</v>
      </c>
      <c r="M51" s="8">
        <f t="shared" si="6"/>
        <v>0</v>
      </c>
      <c r="N51" s="7">
        <f t="shared" si="7"/>
        <v>0</v>
      </c>
    </row>
    <row r="52" spans="1:14" x14ac:dyDescent="0.25">
      <c r="A52" s="9">
        <v>38</v>
      </c>
      <c r="B52" s="11" t="s">
        <v>126</v>
      </c>
      <c r="C52" s="12" t="s">
        <v>126</v>
      </c>
      <c r="D52" s="13">
        <v>324</v>
      </c>
      <c r="E52" s="14">
        <v>0.877</v>
      </c>
      <c r="F52" s="15">
        <v>1187</v>
      </c>
      <c r="G52" s="15">
        <v>146</v>
      </c>
      <c r="H52" s="15">
        <v>1460</v>
      </c>
      <c r="I52" s="5">
        <v>0</v>
      </c>
      <c r="J52" s="5">
        <v>0</v>
      </c>
      <c r="K52" s="8">
        <f t="shared" si="4"/>
        <v>0</v>
      </c>
      <c r="L52" s="8">
        <f t="shared" si="5"/>
        <v>0</v>
      </c>
      <c r="M52" s="8">
        <f t="shared" si="6"/>
        <v>0</v>
      </c>
      <c r="N52" s="7">
        <f t="shared" si="7"/>
        <v>0</v>
      </c>
    </row>
    <row r="53" spans="1:14" x14ac:dyDescent="0.25">
      <c r="A53" s="9">
        <v>39</v>
      </c>
      <c r="B53" s="11" t="s">
        <v>127</v>
      </c>
      <c r="C53" s="12" t="s">
        <v>127</v>
      </c>
      <c r="D53" s="13">
        <v>338</v>
      </c>
      <c r="E53" s="14">
        <v>0.88100000000000001</v>
      </c>
      <c r="F53" s="15">
        <v>1207</v>
      </c>
      <c r="G53" s="15">
        <v>140</v>
      </c>
      <c r="H53" s="15">
        <v>1478</v>
      </c>
      <c r="I53" s="5">
        <v>0</v>
      </c>
      <c r="J53" s="5">
        <v>0</v>
      </c>
      <c r="K53" s="8">
        <f t="shared" si="4"/>
        <v>0</v>
      </c>
      <c r="L53" s="8">
        <f t="shared" si="5"/>
        <v>0</v>
      </c>
      <c r="M53" s="8">
        <f t="shared" si="6"/>
        <v>0</v>
      </c>
      <c r="N53" s="7">
        <f t="shared" si="7"/>
        <v>0</v>
      </c>
    </row>
    <row r="54" spans="1:14" x14ac:dyDescent="0.25">
      <c r="A54" s="9">
        <v>40</v>
      </c>
      <c r="B54" s="11" t="s">
        <v>128</v>
      </c>
      <c r="C54" s="12" t="s">
        <v>128</v>
      </c>
      <c r="D54" s="13">
        <v>352</v>
      </c>
      <c r="E54" s="14">
        <v>0.88500000000000001</v>
      </c>
      <c r="F54" s="15">
        <v>1226</v>
      </c>
      <c r="G54" s="15">
        <v>134</v>
      </c>
      <c r="H54" s="15">
        <v>1494</v>
      </c>
      <c r="I54" s="5">
        <v>0</v>
      </c>
      <c r="J54" s="5">
        <v>0</v>
      </c>
      <c r="K54" s="8">
        <f t="shared" si="4"/>
        <v>0</v>
      </c>
      <c r="L54" s="8">
        <f t="shared" si="5"/>
        <v>0</v>
      </c>
      <c r="M54" s="8">
        <f t="shared" si="6"/>
        <v>0</v>
      </c>
      <c r="N54" s="7">
        <f t="shared" si="7"/>
        <v>0</v>
      </c>
    </row>
    <row r="55" spans="1:14" x14ac:dyDescent="0.25">
      <c r="A55" s="9">
        <v>41</v>
      </c>
      <c r="B55" s="11" t="s">
        <v>129</v>
      </c>
      <c r="C55" s="12" t="s">
        <v>129</v>
      </c>
      <c r="D55" s="13">
        <v>366</v>
      </c>
      <c r="E55" s="14">
        <v>0.88900000000000001</v>
      </c>
      <c r="F55" s="15">
        <v>1244</v>
      </c>
      <c r="G55" s="15">
        <v>129</v>
      </c>
      <c r="H55" s="15">
        <v>1509</v>
      </c>
      <c r="I55" s="5">
        <v>0</v>
      </c>
      <c r="J55" s="5">
        <v>0</v>
      </c>
      <c r="K55" s="8">
        <f t="shared" si="4"/>
        <v>0</v>
      </c>
      <c r="L55" s="8">
        <f t="shared" si="5"/>
        <v>0</v>
      </c>
      <c r="M55" s="8">
        <f t="shared" si="6"/>
        <v>0</v>
      </c>
      <c r="N55" s="7">
        <f t="shared" si="7"/>
        <v>0</v>
      </c>
    </row>
    <row r="56" spans="1:14" x14ac:dyDescent="0.25">
      <c r="A56" s="9">
        <v>42</v>
      </c>
      <c r="B56" s="11" t="s">
        <v>130</v>
      </c>
      <c r="C56" s="12" t="s">
        <v>130</v>
      </c>
      <c r="D56" s="13">
        <v>380</v>
      </c>
      <c r="E56" s="14">
        <v>0.89300000000000002</v>
      </c>
      <c r="F56" s="15">
        <v>1262</v>
      </c>
      <c r="G56" s="15">
        <v>125</v>
      </c>
      <c r="H56" s="15">
        <v>1523</v>
      </c>
      <c r="I56" s="5">
        <v>0</v>
      </c>
      <c r="J56" s="5">
        <v>0</v>
      </c>
      <c r="K56" s="8">
        <f t="shared" si="4"/>
        <v>0</v>
      </c>
      <c r="L56" s="8">
        <f t="shared" si="5"/>
        <v>0</v>
      </c>
      <c r="M56" s="8">
        <f t="shared" si="6"/>
        <v>0</v>
      </c>
      <c r="N56" s="7">
        <f t="shared" si="7"/>
        <v>0</v>
      </c>
    </row>
    <row r="57" spans="1:14" x14ac:dyDescent="0.25">
      <c r="A57" s="9">
        <v>43</v>
      </c>
      <c r="B57" s="11" t="s">
        <v>131</v>
      </c>
      <c r="C57" s="12" t="s">
        <v>131</v>
      </c>
      <c r="D57" s="13">
        <v>394</v>
      </c>
      <c r="E57" s="14">
        <v>0.89600000000000002</v>
      </c>
      <c r="F57" s="15">
        <v>1277</v>
      </c>
      <c r="G57" s="15">
        <v>120</v>
      </c>
      <c r="H57" s="15">
        <v>1537</v>
      </c>
      <c r="I57" s="5">
        <v>0</v>
      </c>
      <c r="J57" s="5">
        <v>0</v>
      </c>
      <c r="K57" s="8">
        <f t="shared" si="4"/>
        <v>0</v>
      </c>
      <c r="L57" s="8">
        <f t="shared" si="5"/>
        <v>0</v>
      </c>
      <c r="M57" s="8">
        <f t="shared" si="6"/>
        <v>0</v>
      </c>
      <c r="N57" s="7">
        <f t="shared" si="7"/>
        <v>0</v>
      </c>
    </row>
    <row r="58" spans="1:14" x14ac:dyDescent="0.25">
      <c r="A58" s="9">
        <v>44</v>
      </c>
      <c r="B58" s="11" t="s">
        <v>132</v>
      </c>
      <c r="C58" s="12" t="s">
        <v>132</v>
      </c>
      <c r="D58" s="13">
        <v>408</v>
      </c>
      <c r="E58" s="14">
        <v>0.89900000000000002</v>
      </c>
      <c r="F58" s="15">
        <v>1294</v>
      </c>
      <c r="G58" s="15">
        <v>116</v>
      </c>
      <c r="H58" s="15">
        <v>1550</v>
      </c>
      <c r="I58" s="5">
        <v>0</v>
      </c>
      <c r="J58" s="5">
        <v>0</v>
      </c>
      <c r="K58" s="8">
        <f t="shared" si="4"/>
        <v>0</v>
      </c>
      <c r="L58" s="8">
        <f t="shared" si="5"/>
        <v>0</v>
      </c>
      <c r="M58" s="8">
        <f t="shared" si="6"/>
        <v>0</v>
      </c>
      <c r="N58" s="7">
        <f t="shared" si="7"/>
        <v>0</v>
      </c>
    </row>
    <row r="59" spans="1:14" x14ac:dyDescent="0.25">
      <c r="A59" s="9">
        <v>45</v>
      </c>
      <c r="B59" s="11" t="s">
        <v>133</v>
      </c>
      <c r="C59" s="12" t="s">
        <v>133</v>
      </c>
      <c r="D59" s="13">
        <v>422</v>
      </c>
      <c r="E59" s="14">
        <v>0.90200000000000002</v>
      </c>
      <c r="F59" s="15">
        <v>1310</v>
      </c>
      <c r="G59" s="15">
        <v>112</v>
      </c>
      <c r="H59" s="15">
        <v>1563</v>
      </c>
      <c r="I59" s="5">
        <v>0</v>
      </c>
      <c r="J59" s="5">
        <v>0</v>
      </c>
      <c r="K59" s="8">
        <f t="shared" si="4"/>
        <v>0</v>
      </c>
      <c r="L59" s="8">
        <f t="shared" si="5"/>
        <v>0</v>
      </c>
      <c r="M59" s="8">
        <f t="shared" si="6"/>
        <v>0</v>
      </c>
      <c r="N59" s="7">
        <f t="shared" si="7"/>
        <v>0</v>
      </c>
    </row>
    <row r="60" spans="1:14" x14ac:dyDescent="0.25">
      <c r="A60" s="9">
        <v>46</v>
      </c>
      <c r="B60" s="11" t="s">
        <v>134</v>
      </c>
      <c r="C60" s="12" t="s">
        <v>134</v>
      </c>
      <c r="D60" s="13">
        <v>436</v>
      </c>
      <c r="E60" s="14">
        <v>0.90600000000000003</v>
      </c>
      <c r="F60" s="15">
        <v>1323</v>
      </c>
      <c r="G60" s="15">
        <v>108</v>
      </c>
      <c r="H60" s="15">
        <v>1574</v>
      </c>
      <c r="I60" s="5">
        <v>0</v>
      </c>
      <c r="J60" s="5">
        <v>0</v>
      </c>
      <c r="K60" s="8">
        <f t="shared" si="4"/>
        <v>0</v>
      </c>
      <c r="L60" s="8">
        <f t="shared" si="5"/>
        <v>0</v>
      </c>
      <c r="M60" s="8">
        <f t="shared" si="6"/>
        <v>0</v>
      </c>
      <c r="N60" s="7">
        <f t="shared" si="7"/>
        <v>0</v>
      </c>
    </row>
    <row r="61" spans="1:14" x14ac:dyDescent="0.25">
      <c r="A61" s="9">
        <v>47</v>
      </c>
      <c r="B61" s="11" t="s">
        <v>135</v>
      </c>
      <c r="C61" s="12" t="s">
        <v>135</v>
      </c>
      <c r="D61" s="13">
        <v>450</v>
      </c>
      <c r="E61" s="14">
        <v>0.90900000000000003</v>
      </c>
      <c r="F61" s="15">
        <v>1335</v>
      </c>
      <c r="G61" s="15">
        <v>104</v>
      </c>
      <c r="H61" s="15">
        <v>1584</v>
      </c>
      <c r="I61" s="5">
        <v>0</v>
      </c>
      <c r="J61" s="5">
        <v>0</v>
      </c>
      <c r="K61" s="8">
        <f t="shared" si="4"/>
        <v>0</v>
      </c>
      <c r="L61" s="8">
        <f t="shared" si="5"/>
        <v>0</v>
      </c>
      <c r="M61" s="8">
        <f t="shared" si="6"/>
        <v>0</v>
      </c>
      <c r="N61" s="7">
        <f t="shared" si="7"/>
        <v>0</v>
      </c>
    </row>
    <row r="62" spans="1:14" x14ac:dyDescent="0.25">
      <c r="A62" s="9">
        <v>48</v>
      </c>
      <c r="B62" s="11" t="s">
        <v>136</v>
      </c>
      <c r="C62" s="12" t="s">
        <v>136</v>
      </c>
      <c r="D62" s="13">
        <v>464</v>
      </c>
      <c r="E62" s="14">
        <v>0.91200000000000003</v>
      </c>
      <c r="F62" s="15">
        <v>1349</v>
      </c>
      <c r="G62" s="15">
        <v>101</v>
      </c>
      <c r="H62" s="15">
        <v>1594</v>
      </c>
      <c r="I62" s="5">
        <v>0</v>
      </c>
      <c r="J62" s="5">
        <v>0</v>
      </c>
      <c r="K62" s="8">
        <f t="shared" si="4"/>
        <v>0</v>
      </c>
      <c r="L62" s="8">
        <f t="shared" si="5"/>
        <v>0</v>
      </c>
      <c r="M62" s="8">
        <f t="shared" si="6"/>
        <v>0</v>
      </c>
      <c r="N62" s="7">
        <f t="shared" si="7"/>
        <v>0</v>
      </c>
    </row>
    <row r="63" spans="1:14" x14ac:dyDescent="0.25">
      <c r="A63" s="9">
        <v>49</v>
      </c>
      <c r="B63" s="11" t="s">
        <v>137</v>
      </c>
      <c r="C63" s="12" t="s">
        <v>137</v>
      </c>
      <c r="D63" s="13">
        <v>478</v>
      </c>
      <c r="E63" s="14">
        <v>0.91500000000000004</v>
      </c>
      <c r="F63" s="15">
        <v>1360</v>
      </c>
      <c r="G63" s="15">
        <v>98</v>
      </c>
      <c r="H63" s="15">
        <v>1603</v>
      </c>
      <c r="I63" s="5">
        <v>0</v>
      </c>
      <c r="J63" s="5">
        <v>0</v>
      </c>
      <c r="K63" s="8">
        <f t="shared" si="4"/>
        <v>0</v>
      </c>
      <c r="L63" s="8">
        <f t="shared" si="5"/>
        <v>0</v>
      </c>
      <c r="M63" s="8">
        <f t="shared" si="6"/>
        <v>0</v>
      </c>
      <c r="N63" s="7">
        <f t="shared" si="7"/>
        <v>0</v>
      </c>
    </row>
    <row r="64" spans="1:14" x14ac:dyDescent="0.25">
      <c r="A64" s="9">
        <v>50</v>
      </c>
      <c r="B64" s="11" t="s">
        <v>138</v>
      </c>
      <c r="C64" s="12" t="s">
        <v>138</v>
      </c>
      <c r="D64" s="13">
        <v>492</v>
      </c>
      <c r="E64" s="14">
        <v>0.91700000000000004</v>
      </c>
      <c r="F64" s="15">
        <v>1373</v>
      </c>
      <c r="G64" s="15">
        <v>95</v>
      </c>
      <c r="H64" s="15">
        <v>1612</v>
      </c>
      <c r="I64" s="5">
        <v>0</v>
      </c>
      <c r="J64" s="5">
        <v>0</v>
      </c>
      <c r="K64" s="8">
        <f t="shared" si="4"/>
        <v>0</v>
      </c>
      <c r="L64" s="8">
        <f t="shared" si="5"/>
        <v>0</v>
      </c>
      <c r="M64" s="8">
        <f t="shared" si="6"/>
        <v>0</v>
      </c>
      <c r="N64" s="7">
        <f t="shared" si="7"/>
        <v>0</v>
      </c>
    </row>
    <row r="65" spans="1:14" x14ac:dyDescent="0.25">
      <c r="A65" s="9">
        <v>51</v>
      </c>
      <c r="B65" s="11" t="s">
        <v>139</v>
      </c>
      <c r="C65" s="12" t="s">
        <v>139</v>
      </c>
      <c r="D65" s="6">
        <v>635</v>
      </c>
      <c r="E65" s="14">
        <v>0.94</v>
      </c>
      <c r="F65" s="15">
        <v>1490</v>
      </c>
      <c r="G65" s="15">
        <v>80</v>
      </c>
      <c r="H65" s="15">
        <v>1700</v>
      </c>
      <c r="I65" s="5">
        <v>0</v>
      </c>
      <c r="J65" s="5">
        <v>0</v>
      </c>
      <c r="K65" s="8">
        <f t="shared" si="4"/>
        <v>0</v>
      </c>
      <c r="L65" s="8">
        <f t="shared" si="5"/>
        <v>0</v>
      </c>
      <c r="M65" s="8">
        <f t="shared" si="6"/>
        <v>0</v>
      </c>
      <c r="N65" s="7">
        <f t="shared" si="7"/>
        <v>0</v>
      </c>
    </row>
    <row r="66" spans="1:14" x14ac:dyDescent="0.25">
      <c r="B66" s="16" t="s">
        <v>140</v>
      </c>
      <c r="I66" s="17">
        <f>SUM(I15:I65)</f>
        <v>100.00000000000001</v>
      </c>
      <c r="J66" s="17">
        <f>SUM(J15:J65)</f>
        <v>100.00000000000003</v>
      </c>
      <c r="K66" s="17">
        <f>SUM(K15:K65)</f>
        <v>100</v>
      </c>
      <c r="L66" s="17">
        <f>SUM(L15:L65)</f>
        <v>100</v>
      </c>
      <c r="M66" s="17">
        <f>SUM(M15:M65)</f>
        <v>100.00000000000003</v>
      </c>
    </row>
    <row r="67" spans="1:14" x14ac:dyDescent="0.25">
      <c r="B67" s="1" t="s">
        <v>141</v>
      </c>
      <c r="I67" s="9" t="str">
        <f>IF(ABS(I66-100)&lt;=0.5,"PASS",IF(ABS(I66-100)&lt;=2,"REVIEW","FAIL"))</f>
        <v>PASS</v>
      </c>
      <c r="J67" s="9" t="str">
        <f>IF(ABS(J66-100)&lt;=0.5,"PASS",IF(ABS(J66-100)&lt;=2,"REVIEW","FAIL"))</f>
        <v>PASS</v>
      </c>
    </row>
  </sheetData>
  <mergeCells count="4">
    <mergeCell ref="A12:N12"/>
    <mergeCell ref="A4:N4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6"/>
  <sheetViews>
    <sheetView topLeftCell="A6" workbookViewId="0">
      <selection activeCell="A3" sqref="A1:C1048576"/>
    </sheetView>
  </sheetViews>
  <sheetFormatPr defaultRowHeight="15" x14ac:dyDescent="0.25"/>
  <cols>
    <col min="1" max="3" width="37.140625" customWidth="1"/>
    <col min="4" max="4" width="10" customWidth="1"/>
    <col min="5" max="5" width="11" customWidth="1"/>
    <col min="6" max="11" width="12" customWidth="1"/>
    <col min="12" max="12" width="10" customWidth="1"/>
    <col min="13" max="13" width="13" customWidth="1"/>
    <col min="14" max="14" width="12" customWidth="1"/>
  </cols>
  <sheetData>
    <row r="1" spans="1:14" ht="26.1" customHeight="1" x14ac:dyDescent="0.25">
      <c r="A1" s="41" t="s">
        <v>159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15" customHeight="1" x14ac:dyDescent="0.25">
      <c r="A2" s="40" t="s">
        <v>160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 ht="20.100000000000001" customHeight="1" x14ac:dyDescent="0.25">
      <c r="A4" s="42" t="s">
        <v>161</v>
      </c>
      <c r="B4" s="39"/>
    </row>
    <row r="5" spans="1:14" x14ac:dyDescent="0.25">
      <c r="A5" s="1" t="s">
        <v>162</v>
      </c>
      <c r="B5" s="20">
        <v>339</v>
      </c>
    </row>
    <row r="6" spans="1:14" x14ac:dyDescent="0.25">
      <c r="A6" s="1" t="s">
        <v>163</v>
      </c>
      <c r="B6" s="2" t="s">
        <v>164</v>
      </c>
    </row>
    <row r="7" spans="1:14" ht="30" x14ac:dyDescent="0.25">
      <c r="A7" s="1" t="s">
        <v>165</v>
      </c>
      <c r="B7" s="5">
        <v>1</v>
      </c>
    </row>
    <row r="8" spans="1:14" x14ac:dyDescent="0.25">
      <c r="A8" s="1" t="s">
        <v>166</v>
      </c>
      <c r="B8" s="21">
        <f>IF(B6="Stock Tank",B5/B7,B5)</f>
        <v>339</v>
      </c>
    </row>
    <row r="9" spans="1:14" x14ac:dyDescent="0.25">
      <c r="A9" s="1" t="s">
        <v>167</v>
      </c>
      <c r="B9" s="22">
        <f>STO_Composition!B5</f>
        <v>0.8196</v>
      </c>
    </row>
    <row r="10" spans="1:14" ht="30" x14ac:dyDescent="0.25">
      <c r="A10" s="1" t="s">
        <v>168</v>
      </c>
      <c r="B10" s="23">
        <f>STO_Composition!B7</f>
        <v>187.05427388983995</v>
      </c>
    </row>
    <row r="11" spans="1:14" ht="30" x14ac:dyDescent="0.25">
      <c r="A11" s="1" t="s">
        <v>169</v>
      </c>
      <c r="B11" s="23">
        <f>Gas_Composition!B6</f>
        <v>26.102136499999993</v>
      </c>
    </row>
    <row r="12" spans="1:14" x14ac:dyDescent="0.25">
      <c r="A12" s="1" t="s">
        <v>170</v>
      </c>
      <c r="B12" s="5">
        <v>0.99</v>
      </c>
    </row>
    <row r="13" spans="1:14" ht="30" x14ac:dyDescent="0.25">
      <c r="A13" s="1" t="s">
        <v>171</v>
      </c>
      <c r="B13" s="20">
        <v>248</v>
      </c>
    </row>
    <row r="14" spans="1:14" ht="30" x14ac:dyDescent="0.25">
      <c r="A14" s="1" t="s">
        <v>172</v>
      </c>
      <c r="B14" s="20">
        <v>118</v>
      </c>
    </row>
    <row r="16" spans="1:14" ht="20.100000000000001" customHeight="1" x14ac:dyDescent="0.25">
      <c r="A16" s="42" t="s">
        <v>173</v>
      </c>
      <c r="B16" s="39"/>
    </row>
    <row r="17" spans="1:2" x14ac:dyDescent="0.25">
      <c r="A17" s="1" t="s">
        <v>174</v>
      </c>
      <c r="B17" s="14">
        <v>1205.9100000000001</v>
      </c>
    </row>
    <row r="18" spans="1:2" x14ac:dyDescent="0.25">
      <c r="A18" s="1" t="s">
        <v>175</v>
      </c>
      <c r="B18" s="14">
        <v>288.7056</v>
      </c>
    </row>
    <row r="19" spans="1:2" x14ac:dyDescent="0.25">
      <c r="A19" s="1" t="s">
        <v>176</v>
      </c>
      <c r="B19" s="24">
        <v>14.73</v>
      </c>
    </row>
    <row r="20" spans="1:2" x14ac:dyDescent="0.25">
      <c r="A20" s="1" t="s">
        <v>177</v>
      </c>
      <c r="B20" s="13">
        <v>28316.846000000001</v>
      </c>
    </row>
    <row r="21" spans="1:2" x14ac:dyDescent="0.25">
      <c r="A21" s="1" t="s">
        <v>178</v>
      </c>
      <c r="B21" s="24">
        <v>158987.29</v>
      </c>
    </row>
    <row r="22" spans="1:2" x14ac:dyDescent="0.25">
      <c r="A22" s="1" t="s">
        <v>179</v>
      </c>
      <c r="B22" s="21">
        <f>B14+459.67</f>
        <v>577.67000000000007</v>
      </c>
    </row>
    <row r="24" spans="1:2" ht="20.100000000000001" customHeight="1" x14ac:dyDescent="0.25">
      <c r="A24" s="42" t="s">
        <v>180</v>
      </c>
      <c r="B24" s="39"/>
    </row>
    <row r="25" spans="1:2" x14ac:dyDescent="0.25">
      <c r="A25" s="1" t="s">
        <v>181</v>
      </c>
      <c r="B25" s="8">
        <f>B8*B20/B21</f>
        <v>60.378479273406064</v>
      </c>
    </row>
    <row r="26" spans="1:2" x14ac:dyDescent="0.25">
      <c r="A26" s="1" t="s">
        <v>182</v>
      </c>
      <c r="B26" s="25">
        <f>B19*B25/(B12*B17*B18)</f>
        <v>2.580355943265643E-3</v>
      </c>
    </row>
    <row r="27" spans="1:2" x14ac:dyDescent="0.25">
      <c r="A27" s="1" t="s">
        <v>183</v>
      </c>
      <c r="B27" s="25">
        <f>B9/B10</f>
        <v>4.3816160035064422E-3</v>
      </c>
    </row>
    <row r="28" spans="1:2" x14ac:dyDescent="0.25">
      <c r="A28" s="1" t="s">
        <v>184</v>
      </c>
      <c r="B28" s="8">
        <f>B26/B27</f>
        <v>0.58890508460820878</v>
      </c>
    </row>
    <row r="29" spans="1:2" x14ac:dyDescent="0.25">
      <c r="A29" s="1" t="s">
        <v>185</v>
      </c>
      <c r="B29" s="25">
        <f>B26/(B26+B27)</f>
        <v>0.37063578580807466</v>
      </c>
    </row>
    <row r="30" spans="1:2" x14ac:dyDescent="0.25">
      <c r="A30" s="1" t="s">
        <v>186</v>
      </c>
      <c r="B30" s="25">
        <f>1-B29</f>
        <v>0.62936421419192534</v>
      </c>
    </row>
    <row r="31" spans="1:2" x14ac:dyDescent="0.25">
      <c r="A31" s="1" t="s">
        <v>187</v>
      </c>
      <c r="B31" s="25">
        <f>B29*B11/(B29*B11+B30*B10)</f>
        <v>7.5937302208324509E-2</v>
      </c>
    </row>
    <row r="32" spans="1:2" x14ac:dyDescent="0.25">
      <c r="A32" s="1" t="s">
        <v>188</v>
      </c>
      <c r="B32" s="25">
        <f>1-B31</f>
        <v>0.92406269779167549</v>
      </c>
    </row>
    <row r="33" spans="1:14" x14ac:dyDescent="0.25">
      <c r="A33" s="1" t="s">
        <v>189</v>
      </c>
      <c r="B33" s="7">
        <f>B29*B11+B30*B10</f>
        <v>127.39965197086742</v>
      </c>
    </row>
    <row r="35" spans="1:14" ht="20.100000000000001" customHeight="1" x14ac:dyDescent="0.25">
      <c r="A35" s="42" t="s">
        <v>190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</row>
    <row r="36" spans="1:14" ht="32.1" customHeight="1" x14ac:dyDescent="0.25">
      <c r="A36" s="10" t="s">
        <v>55</v>
      </c>
      <c r="B36" s="10" t="s">
        <v>56</v>
      </c>
      <c r="C36" s="10" t="s">
        <v>57</v>
      </c>
      <c r="D36" s="10" t="s">
        <v>191</v>
      </c>
      <c r="E36" s="10" t="s">
        <v>192</v>
      </c>
      <c r="F36" s="10" t="s">
        <v>193</v>
      </c>
      <c r="G36" s="10" t="s">
        <v>194</v>
      </c>
      <c r="H36" s="10" t="s">
        <v>195</v>
      </c>
      <c r="I36" s="10" t="s">
        <v>196</v>
      </c>
      <c r="J36" s="10" t="s">
        <v>197</v>
      </c>
      <c r="K36" s="10" t="s">
        <v>198</v>
      </c>
      <c r="L36" s="10" t="s">
        <v>199</v>
      </c>
      <c r="M36" s="10" t="s">
        <v>200</v>
      </c>
      <c r="N36" s="10" t="s">
        <v>201</v>
      </c>
    </row>
    <row r="37" spans="1:14" x14ac:dyDescent="0.25">
      <c r="A37" s="9">
        <v>1</v>
      </c>
      <c r="B37" s="26" t="str">
        <f>STO_Composition!B15</f>
        <v>H2</v>
      </c>
      <c r="C37" s="27" t="str">
        <f>STO_Composition!C15</f>
        <v>Hydrogen</v>
      </c>
      <c r="D37" s="28">
        <f>STO_Composition!D15</f>
        <v>2.016</v>
      </c>
      <c r="E37" s="22">
        <f>STO_Composition!E15</f>
        <v>7.1099999999999997E-2</v>
      </c>
      <c r="F37" s="22">
        <f>Gas_Composition!K15</f>
        <v>0</v>
      </c>
      <c r="G37" s="22">
        <f>STO_Composition!K15</f>
        <v>0</v>
      </c>
      <c r="H37" s="22">
        <f>Gas_Composition!L15</f>
        <v>0</v>
      </c>
      <c r="I37" s="22">
        <f>STO_Composition!L15</f>
        <v>0</v>
      </c>
      <c r="J37" s="8">
        <f t="shared" ref="J37:J68" si="0">$B$29*F37+$B$30*G37</f>
        <v>0</v>
      </c>
      <c r="K37" s="8">
        <f t="shared" ref="K37:K68" si="1">$B$31*H37+$B$32*I37</f>
        <v>0</v>
      </c>
      <c r="L37" s="25" t="str">
        <f t="shared" ref="L37:L68" si="2">IF(G37=0,"",F37/G37)</f>
        <v/>
      </c>
      <c r="M37" s="8" t="str">
        <f t="shared" ref="M37:M68" si="3">IF(OR(L37="",L37=0),"",LOG10(L37*$B$13))</f>
        <v/>
      </c>
      <c r="N37" s="8">
        <f>IF(OR(STO_Composition!F15=0,STO_Composition!H15=0,STO_Composition!F15=STO_Composition!H15),"",(LOG10(STO_Composition!G15/14.7)/(1/STO_Composition!F15-1/STO_Composition!H15))*(1/STO_Composition!F15-1/$B$22))</f>
        <v>2.7123079874013598</v>
      </c>
    </row>
    <row r="38" spans="1:14" x14ac:dyDescent="0.25">
      <c r="A38" s="9">
        <v>2</v>
      </c>
      <c r="B38" s="26" t="str">
        <f>STO_Composition!B16</f>
        <v>H2S</v>
      </c>
      <c r="C38" s="27" t="str">
        <f>STO_Composition!C16</f>
        <v>Hydrogen Sulfide</v>
      </c>
      <c r="D38" s="28">
        <f>STO_Composition!D16</f>
        <v>34.082000000000001</v>
      </c>
      <c r="E38" s="22">
        <f>STO_Composition!E16</f>
        <v>0.80059999999999998</v>
      </c>
      <c r="F38" s="22">
        <f>Gas_Composition!K16</f>
        <v>0</v>
      </c>
      <c r="G38" s="22">
        <f>STO_Composition!K16</f>
        <v>0</v>
      </c>
      <c r="H38" s="22">
        <f>Gas_Composition!L16</f>
        <v>0</v>
      </c>
      <c r="I38" s="22">
        <f>STO_Composition!L16</f>
        <v>0</v>
      </c>
      <c r="J38" s="8">
        <f t="shared" si="0"/>
        <v>0</v>
      </c>
      <c r="K38" s="8">
        <f t="shared" si="1"/>
        <v>0</v>
      </c>
      <c r="L38" s="25" t="str">
        <f t="shared" si="2"/>
        <v/>
      </c>
      <c r="M38" s="8" t="str">
        <f t="shared" si="3"/>
        <v/>
      </c>
      <c r="N38" s="8">
        <f>IF(OR(STO_Composition!F16=0,STO_Composition!H16=0,STO_Composition!F16=STO_Composition!H16),"",(LOG10(STO_Composition!G16/14.7)/(1/STO_Composition!F16-1/STO_Composition!H16))*(1/STO_Composition!F16-1/$B$22))</f>
        <v>1.5239048794039278</v>
      </c>
    </row>
    <row r="39" spans="1:14" x14ac:dyDescent="0.25">
      <c r="A39" s="9">
        <v>3</v>
      </c>
      <c r="B39" s="26" t="str">
        <f>STO_Composition!B17</f>
        <v>CO2</v>
      </c>
      <c r="C39" s="27" t="str">
        <f>STO_Composition!C17</f>
        <v>Carbon Dioxide</v>
      </c>
      <c r="D39" s="28">
        <f>STO_Composition!D17</f>
        <v>44.01</v>
      </c>
      <c r="E39" s="22">
        <f>STO_Composition!E17</f>
        <v>0.81799999999999995</v>
      </c>
      <c r="F39" s="22">
        <f>Gas_Composition!K17</f>
        <v>4.71</v>
      </c>
      <c r="G39" s="22">
        <f>STO_Composition!K17</f>
        <v>0</v>
      </c>
      <c r="H39" s="22">
        <f>Gas_Composition!L17</f>
        <v>3.5399999999999987</v>
      </c>
      <c r="I39" s="22">
        <f>STO_Composition!L17</f>
        <v>0</v>
      </c>
      <c r="J39" s="8">
        <f t="shared" si="0"/>
        <v>1.7456945511560316</v>
      </c>
      <c r="K39" s="8">
        <f t="shared" si="1"/>
        <v>0.26881804981746865</v>
      </c>
      <c r="L39" s="25" t="str">
        <f t="shared" si="2"/>
        <v/>
      </c>
      <c r="M39" s="8" t="str">
        <f t="shared" si="3"/>
        <v/>
      </c>
      <c r="N39" s="8">
        <f>IF(OR(STO_Composition!F17=0,STO_Composition!H17=0,STO_Composition!F17=STO_Composition!H17),"",(LOG10(STO_Composition!G17/14.7)/(1/STO_Composition!F17-1/STO_Composition!H17))*(1/STO_Composition!F17-1/$B$22))</f>
        <v>2.0341935684220216</v>
      </c>
    </row>
    <row r="40" spans="1:14" x14ac:dyDescent="0.25">
      <c r="A40" s="9">
        <v>4</v>
      </c>
      <c r="B40" s="26" t="str">
        <f>STO_Composition!B18</f>
        <v>N2</v>
      </c>
      <c r="C40" s="27" t="str">
        <f>STO_Composition!C18</f>
        <v>Nitrogen</v>
      </c>
      <c r="D40" s="28">
        <f>STO_Composition!D18</f>
        <v>28.013999999999999</v>
      </c>
      <c r="E40" s="22">
        <f>STO_Composition!E18</f>
        <v>0.80940000000000001</v>
      </c>
      <c r="F40" s="22">
        <f>Gas_Composition!K18</f>
        <v>0.86999999999999988</v>
      </c>
      <c r="G40" s="22">
        <f>STO_Composition!K18</f>
        <v>0</v>
      </c>
      <c r="H40" s="22">
        <f>Gas_Composition!L18</f>
        <v>7.9999999999999988E-2</v>
      </c>
      <c r="I40" s="22">
        <f>STO_Composition!L18</f>
        <v>0</v>
      </c>
      <c r="J40" s="8">
        <f t="shared" si="0"/>
        <v>0.32245313365302491</v>
      </c>
      <c r="K40" s="8">
        <f t="shared" si="1"/>
        <v>6.0749841766659599E-3</v>
      </c>
      <c r="L40" s="25" t="str">
        <f t="shared" si="2"/>
        <v/>
      </c>
      <c r="M40" s="8" t="str">
        <f t="shared" si="3"/>
        <v/>
      </c>
      <c r="N40" s="8">
        <f>IF(OR(STO_Composition!F18=0,STO_Composition!H18=0,STO_Composition!F18=STO_Composition!H18),"",(LOG10(STO_Composition!G18/14.7)/(1/STO_Composition!F18-1/STO_Composition!H18))*(1/STO_Composition!F18-1/$B$22))</f>
        <v>2.9922721994889385</v>
      </c>
    </row>
    <row r="41" spans="1:14" x14ac:dyDescent="0.25">
      <c r="A41" s="9">
        <v>5</v>
      </c>
      <c r="B41" s="26" t="str">
        <f>STO_Composition!B19</f>
        <v>C1</v>
      </c>
      <c r="C41" s="27" t="str">
        <f>STO_Composition!C19</f>
        <v>Methane</v>
      </c>
      <c r="D41" s="28">
        <f>STO_Composition!D19</f>
        <v>16.042999999999999</v>
      </c>
      <c r="E41" s="22">
        <f>STO_Composition!E19</f>
        <v>0.3</v>
      </c>
      <c r="F41" s="22">
        <f>Gas_Composition!K19</f>
        <v>62.509999999999991</v>
      </c>
      <c r="G41" s="22">
        <f>STO_Composition!K19</f>
        <v>0</v>
      </c>
      <c r="H41" s="22">
        <f>Gas_Composition!L19</f>
        <v>21.429999999999993</v>
      </c>
      <c r="I41" s="22">
        <f>STO_Composition!L19</f>
        <v>0</v>
      </c>
      <c r="J41" s="8">
        <f t="shared" si="0"/>
        <v>23.168442970862742</v>
      </c>
      <c r="K41" s="8">
        <f t="shared" si="1"/>
        <v>1.6273363863243937</v>
      </c>
      <c r="L41" s="25" t="str">
        <f t="shared" si="2"/>
        <v/>
      </c>
      <c r="M41" s="8" t="str">
        <f t="shared" si="3"/>
        <v/>
      </c>
      <c r="N41" s="8">
        <f>IF(OR(STO_Composition!F19=0,STO_Composition!H19=0,STO_Composition!F19=STO_Composition!H19),"",(LOG10(STO_Composition!G19/14.7)/(1/STO_Composition!F19-1/STO_Composition!H19))*(1/STO_Composition!F19-1/$B$22))</f>
        <v>2.6054698141330239</v>
      </c>
    </row>
    <row r="42" spans="1:14" x14ac:dyDescent="0.25">
      <c r="A42" s="9">
        <v>6</v>
      </c>
      <c r="B42" s="26" t="str">
        <f>STO_Composition!B20</f>
        <v>C2</v>
      </c>
      <c r="C42" s="27" t="str">
        <f>STO_Composition!C20</f>
        <v>Ethane</v>
      </c>
      <c r="D42" s="28">
        <f>STO_Composition!D20</f>
        <v>30.07</v>
      </c>
      <c r="E42" s="22">
        <f>STO_Composition!E20</f>
        <v>0.35620000000000002</v>
      </c>
      <c r="F42" s="22">
        <f>Gas_Composition!K20</f>
        <v>14.17</v>
      </c>
      <c r="G42" s="22">
        <f>STO_Composition!K20</f>
        <v>0.181250629342463</v>
      </c>
      <c r="H42" s="22">
        <f>Gas_Composition!L20</f>
        <v>20.729999999999997</v>
      </c>
      <c r="I42" s="22">
        <f>STO_Composition!L20</f>
        <v>3.0135610246107485E-2</v>
      </c>
      <c r="J42" s="8">
        <f t="shared" si="0"/>
        <v>5.3659817448083285</v>
      </c>
      <c r="K42" s="8">
        <f t="shared" si="1"/>
        <v>1.6020274680821835</v>
      </c>
      <c r="L42" s="25">
        <f t="shared" si="2"/>
        <v>78.179038888888883</v>
      </c>
      <c r="M42" s="8">
        <f t="shared" si="3"/>
        <v>4.2875420078610764</v>
      </c>
      <c r="N42" s="8">
        <f>IF(OR(STO_Composition!F20=0,STO_Composition!H20=0,STO_Composition!F20=STO_Composition!H20),"",(LOG10(STO_Composition!G20/14.7)/(1/STO_Composition!F20-1/STO_Composition!H20))*(1/STO_Composition!F20-1/$B$22))</f>
        <v>1.8066698887149206</v>
      </c>
    </row>
    <row r="43" spans="1:14" x14ac:dyDescent="0.25">
      <c r="A43" s="9">
        <v>7</v>
      </c>
      <c r="B43" s="26" t="str">
        <f>STO_Composition!B21</f>
        <v>C3</v>
      </c>
      <c r="C43" s="27" t="str">
        <f>STO_Composition!C21</f>
        <v>Propane</v>
      </c>
      <c r="D43" s="28">
        <f>STO_Composition!D21</f>
        <v>44.097000000000001</v>
      </c>
      <c r="E43" s="22">
        <f>STO_Composition!E21</f>
        <v>0.50700000000000001</v>
      </c>
      <c r="F43" s="22">
        <f>Gas_Composition!K21</f>
        <v>9.9799999999999986</v>
      </c>
      <c r="G43" s="22">
        <f>STO_Composition!K21</f>
        <v>1.6614641023059109</v>
      </c>
      <c r="H43" s="22">
        <f>Gas_Composition!L21</f>
        <v>27.409999999999989</v>
      </c>
      <c r="I43" s="22">
        <f>STO_Composition!L21</f>
        <v>0.40180813661476655</v>
      </c>
      <c r="J43" s="8">
        <f t="shared" si="0"/>
        <v>4.7446111915204368</v>
      </c>
      <c r="K43" s="8">
        <f t="shared" si="1"/>
        <v>2.4527373642450616</v>
      </c>
      <c r="L43" s="25">
        <f t="shared" si="2"/>
        <v>6.0067503030303016</v>
      </c>
      <c r="M43" s="8">
        <f t="shared" si="3"/>
        <v>3.1730912597903869</v>
      </c>
      <c r="N43" s="8">
        <f>IF(OR(STO_Composition!F21=0,STO_Composition!H21=0,STO_Composition!F21=STO_Composition!H21),"",(LOG10(STO_Composition!G21/14.7)/(1/STO_Composition!F21-1/STO_Composition!H21))*(1/STO_Composition!F21-1/$B$22))</f>
        <v>1.2106696588463113</v>
      </c>
    </row>
    <row r="44" spans="1:14" x14ac:dyDescent="0.25">
      <c r="A44" s="9">
        <v>8</v>
      </c>
      <c r="B44" s="26" t="str">
        <f>STO_Composition!B22</f>
        <v>iC4</v>
      </c>
      <c r="C44" s="27" t="str">
        <f>STO_Composition!C22</f>
        <v>i-Butane</v>
      </c>
      <c r="D44" s="28">
        <f>STO_Composition!D22</f>
        <v>58.124000000000002</v>
      </c>
      <c r="E44" s="22">
        <f>STO_Composition!E22</f>
        <v>0.56289999999999996</v>
      </c>
      <c r="F44" s="22">
        <f>Gas_Composition!K22</f>
        <v>1.7699999999999998</v>
      </c>
      <c r="G44" s="22">
        <f>STO_Composition!K22</f>
        <v>1.2083375289497533</v>
      </c>
      <c r="H44" s="22">
        <f>Gas_Composition!L22</f>
        <v>5.9799999999999986</v>
      </c>
      <c r="I44" s="22">
        <f>STO_Composition!L22</f>
        <v>0.38171772978402824</v>
      </c>
      <c r="J44" s="8">
        <f t="shared" si="0"/>
        <v>1.4165097402663664</v>
      </c>
      <c r="K44" s="8">
        <f t="shared" si="1"/>
        <v>0.80683618238492338</v>
      </c>
      <c r="L44" s="25">
        <f t="shared" si="2"/>
        <v>1.4648224999999997</v>
      </c>
      <c r="M44" s="8">
        <f t="shared" si="3"/>
        <v>2.5602366830311039</v>
      </c>
      <c r="N44" s="8">
        <f>IF(OR(STO_Composition!F22=0,STO_Composition!H22=0,STO_Composition!F22=STO_Composition!H22),"",(LOG10(STO_Composition!G22/14.7)/(1/STO_Composition!F22-1/STO_Composition!H22))*(1/STO_Composition!F22-1/$B$22))</f>
        <v>0.80307929054033156</v>
      </c>
    </row>
    <row r="45" spans="1:14" x14ac:dyDescent="0.25">
      <c r="A45" s="9">
        <v>9</v>
      </c>
      <c r="B45" s="26" t="str">
        <f>STO_Composition!B23</f>
        <v>nC4</v>
      </c>
      <c r="C45" s="27" t="str">
        <f>STO_Composition!C23</f>
        <v>n-Butane</v>
      </c>
      <c r="D45" s="28">
        <f>STO_Composition!D23</f>
        <v>58.124000000000002</v>
      </c>
      <c r="E45" s="22">
        <f>STO_Composition!E23</f>
        <v>0.58399999999999996</v>
      </c>
      <c r="F45" s="22">
        <f>Gas_Composition!K23</f>
        <v>3.2499999999999996</v>
      </c>
      <c r="G45" s="22">
        <f>STO_Composition!K23</f>
        <v>4.0076528043500153</v>
      </c>
      <c r="H45" s="22">
        <f>Gas_Composition!L23</f>
        <v>11.409999999999997</v>
      </c>
      <c r="I45" s="22">
        <f>STO_Composition!L23</f>
        <v>1.2656956303365146</v>
      </c>
      <c r="J45" s="8">
        <f t="shared" si="0"/>
        <v>3.7268395618400554</v>
      </c>
      <c r="K45" s="8">
        <f t="shared" si="1"/>
        <v>2.0360267369488771</v>
      </c>
      <c r="L45" s="25">
        <f t="shared" si="2"/>
        <v>0.81094849246231138</v>
      </c>
      <c r="M45" s="8">
        <f t="shared" si="3"/>
        <v>2.3034449516221085</v>
      </c>
      <c r="N45" s="8">
        <f>IF(OR(STO_Composition!F23=0,STO_Composition!H23=0,STO_Composition!F23=STO_Composition!H23),"",(LOG10(STO_Composition!G23/14.7)/(1/STO_Composition!F23-1/STO_Composition!H23))*(1/STO_Composition!F23-1/$B$22))</f>
        <v>0.66022625771070442</v>
      </c>
    </row>
    <row r="46" spans="1:14" x14ac:dyDescent="0.25">
      <c r="A46" s="9">
        <v>10</v>
      </c>
      <c r="B46" s="26" t="str">
        <f>STO_Composition!B24</f>
        <v>Neo-C5</v>
      </c>
      <c r="C46" s="27" t="str">
        <f>STO_Composition!C24</f>
        <v>Neo-Pentane</v>
      </c>
      <c r="D46" s="28">
        <f>STO_Composition!D24</f>
        <v>72.150999999999996</v>
      </c>
      <c r="E46" s="22">
        <f>STO_Composition!E24</f>
        <v>0.59670000000000001</v>
      </c>
      <c r="F46" s="22">
        <f>Gas_Composition!K24</f>
        <v>9.9999999999999985E-3</v>
      </c>
      <c r="G46" s="22">
        <f>STO_Composition!K24</f>
        <v>0</v>
      </c>
      <c r="H46" s="22">
        <f>Gas_Composition!L24</f>
        <v>4.9999999999999989E-2</v>
      </c>
      <c r="I46" s="22">
        <f>STO_Composition!L24</f>
        <v>0</v>
      </c>
      <c r="J46" s="8">
        <f t="shared" si="0"/>
        <v>3.7063578580807462E-3</v>
      </c>
      <c r="K46" s="8">
        <f t="shared" si="1"/>
        <v>3.7968651104162247E-3</v>
      </c>
      <c r="L46" s="25" t="str">
        <f t="shared" si="2"/>
        <v/>
      </c>
      <c r="M46" s="8" t="str">
        <f t="shared" si="3"/>
        <v/>
      </c>
      <c r="N46" s="8">
        <f>IF(OR(STO_Composition!F24=0,STO_Composition!H24=0,STO_Composition!F24=STO_Composition!H24),"",(LOG10(STO_Composition!G24/14.7)/(1/STO_Composition!F24-1/STO_Composition!H24))*(1/STO_Composition!F24-1/$B$22))</f>
        <v>0.71923998573168735</v>
      </c>
    </row>
    <row r="47" spans="1:14" x14ac:dyDescent="0.25">
      <c r="A47" s="9">
        <v>11</v>
      </c>
      <c r="B47" s="26" t="str">
        <f>STO_Composition!B25</f>
        <v>iC5</v>
      </c>
      <c r="C47" s="27" t="str">
        <f>STO_Composition!C25</f>
        <v>i-Pentane</v>
      </c>
      <c r="D47" s="28">
        <f>STO_Composition!D25</f>
        <v>72.150999999999996</v>
      </c>
      <c r="E47" s="22">
        <f>STO_Composition!E25</f>
        <v>0.62439999999999996</v>
      </c>
      <c r="F47" s="22">
        <f>Gas_Composition!K25</f>
        <v>0.85999999999999988</v>
      </c>
      <c r="G47" s="22">
        <f>STO_Composition!K25</f>
        <v>3.0107743429664691</v>
      </c>
      <c r="H47" s="22">
        <f>Gas_Composition!L25</f>
        <v>3.1999999999999993</v>
      </c>
      <c r="I47" s="22">
        <f>STO_Composition!L25</f>
        <v>1.1853340030135611</v>
      </c>
      <c r="J47" s="8">
        <f t="shared" si="0"/>
        <v>2.2136204042652463</v>
      </c>
      <c r="K47" s="8">
        <f t="shared" si="1"/>
        <v>1.3383223036755556</v>
      </c>
      <c r="L47" s="25">
        <f t="shared" si="2"/>
        <v>0.28564080267558523</v>
      </c>
      <c r="M47" s="8">
        <f t="shared" si="3"/>
        <v>1.85027192563606</v>
      </c>
      <c r="N47" s="8">
        <f>IF(OR(STO_Composition!F25=0,STO_Composition!H25=0,STO_Composition!F25=STO_Composition!H25),"",(LOG10(STO_Composition!G25/14.7)/(1/STO_Composition!F25-1/STO_Composition!H25))*(1/STO_Composition!F25-1/$B$22))</f>
        <v>0.27386872626756875</v>
      </c>
    </row>
    <row r="48" spans="1:14" x14ac:dyDescent="0.25">
      <c r="A48" s="9">
        <v>12</v>
      </c>
      <c r="B48" s="26" t="str">
        <f>STO_Composition!B26</f>
        <v>nC5</v>
      </c>
      <c r="C48" s="27" t="str">
        <f>STO_Composition!C26</f>
        <v>n-Pentane</v>
      </c>
      <c r="D48" s="28">
        <f>STO_Composition!D26</f>
        <v>72.150999999999996</v>
      </c>
      <c r="E48" s="22">
        <f>STO_Composition!E26</f>
        <v>0.63109999999999999</v>
      </c>
      <c r="F48" s="22">
        <f>Gas_Composition!K26</f>
        <v>0.87999999999999989</v>
      </c>
      <c r="G48" s="22">
        <f>STO_Composition!K26</f>
        <v>4.3600845836270263</v>
      </c>
      <c r="H48" s="22">
        <f>Gas_Composition!L26</f>
        <v>3.1999999999999993</v>
      </c>
      <c r="I48" s="22">
        <f>STO_Composition!L26</f>
        <v>1.7076845806127579</v>
      </c>
      <c r="J48" s="8">
        <f t="shared" si="0"/>
        <v>3.0702406992958573</v>
      </c>
      <c r="K48" s="8">
        <f t="shared" si="1"/>
        <v>1.8210069876049093</v>
      </c>
      <c r="L48" s="25">
        <f t="shared" si="2"/>
        <v>0.20183094688221706</v>
      </c>
      <c r="M48" s="8">
        <f t="shared" si="3"/>
        <v>1.699439438513725</v>
      </c>
      <c r="N48" s="8">
        <f>IF(OR(STO_Composition!F26=0,STO_Composition!H26=0,STO_Composition!F26=STO_Composition!H26),"",(LOG10(STO_Composition!G26/14.7)/(1/STO_Composition!F26-1/STO_Composition!H26))*(1/STO_Composition!F26-1/$B$22))</f>
        <v>0.16242826402961702</v>
      </c>
    </row>
    <row r="49" spans="1:14" x14ac:dyDescent="0.25">
      <c r="A49" s="9">
        <v>13</v>
      </c>
      <c r="B49" s="26" t="str">
        <f>STO_Composition!B27</f>
        <v>C6</v>
      </c>
      <c r="C49" s="27" t="str">
        <f>STO_Composition!C27</f>
        <v>Hexanes</v>
      </c>
      <c r="D49" s="28">
        <f>STO_Composition!D27</f>
        <v>86.177999999999997</v>
      </c>
      <c r="E49" s="22">
        <f>STO_Composition!E27</f>
        <v>0.66400000000000003</v>
      </c>
      <c r="F49" s="22">
        <f>Gas_Composition!K27</f>
        <v>0.54999999999999993</v>
      </c>
      <c r="G49" s="22">
        <f>STO_Composition!K27</f>
        <v>7.1392609002114593</v>
      </c>
      <c r="H49" s="22">
        <f>Gas_Composition!L27</f>
        <v>1.8399999999999996</v>
      </c>
      <c r="I49" s="22">
        <f>STO_Composition!L27</f>
        <v>3.3450527373179315</v>
      </c>
      <c r="J49" s="8">
        <f t="shared" si="0"/>
        <v>4.697045008567164</v>
      </c>
      <c r="K49" s="8">
        <f t="shared" si="1"/>
        <v>3.2307630927647533</v>
      </c>
      <c r="L49" s="25">
        <f t="shared" si="2"/>
        <v>7.7038787023977415E-2</v>
      </c>
      <c r="M49" s="8">
        <f t="shared" si="3"/>
        <v>1.2811611170280992</v>
      </c>
      <c r="N49" s="8">
        <f>IF(OR(STO_Composition!F27=0,STO_Composition!H27=0,STO_Composition!F27=STO_Composition!H27),"",(LOG10(STO_Composition!G27/14.7)/(1/STO_Composition!F27-1/STO_Composition!H27))*(1/STO_Composition!F27-1/$B$22))</f>
        <v>-0.29496587238243344</v>
      </c>
    </row>
    <row r="50" spans="1:14" x14ac:dyDescent="0.25">
      <c r="A50" s="9">
        <v>14</v>
      </c>
      <c r="B50" s="26" t="str">
        <f>STO_Composition!B28</f>
        <v>MCP</v>
      </c>
      <c r="C50" s="27" t="str">
        <f>STO_Composition!C28</f>
        <v>M-C-Pentane</v>
      </c>
      <c r="D50" s="28">
        <f>STO_Composition!D28</f>
        <v>84.161000000000001</v>
      </c>
      <c r="E50" s="22">
        <f>STO_Composition!E28</f>
        <v>0.75360000000000005</v>
      </c>
      <c r="F50" s="22">
        <f>Gas_Composition!K28</f>
        <v>5.9999999999999984E-2</v>
      </c>
      <c r="G50" s="22">
        <f>STO_Composition!K28</f>
        <v>1.2486154465814119</v>
      </c>
      <c r="H50" s="22">
        <f>Gas_Composition!L28</f>
        <v>0.17999999999999994</v>
      </c>
      <c r="I50" s="22">
        <f>STO_Composition!L28</f>
        <v>0.57257659467604227</v>
      </c>
      <c r="J50" s="8">
        <f t="shared" si="0"/>
        <v>0.80807202651409471</v>
      </c>
      <c r="K50" s="8">
        <f t="shared" si="1"/>
        <v>0.5427653871662127</v>
      </c>
      <c r="L50" s="25">
        <f t="shared" si="2"/>
        <v>4.8053225806451598E-2</v>
      </c>
      <c r="M50" s="8">
        <f t="shared" si="3"/>
        <v>1.0761742279383304</v>
      </c>
      <c r="N50" s="8">
        <f>IF(OR(STO_Composition!F28=0,STO_Composition!H28=0,STO_Composition!F28=STO_Composition!H28),"",(LOG10(STO_Composition!G28/14.7)/(1/STO_Composition!F28-1/STO_Composition!H28))*(1/STO_Composition!F28-1/$B$22))</f>
        <v>-0.33446107046000373</v>
      </c>
    </row>
    <row r="51" spans="1:14" x14ac:dyDescent="0.25">
      <c r="A51" s="9">
        <v>15</v>
      </c>
      <c r="B51" s="26" t="str">
        <f>STO_Composition!B29</f>
        <v>Benzene</v>
      </c>
      <c r="C51" s="27" t="str">
        <f>STO_Composition!C29</f>
        <v>Benzene</v>
      </c>
      <c r="D51" s="28">
        <f>STO_Composition!D29</f>
        <v>78.114000000000004</v>
      </c>
      <c r="E51" s="22">
        <f>STO_Composition!E29</f>
        <v>0.88439999999999996</v>
      </c>
      <c r="F51" s="22">
        <f>Gas_Composition!K29</f>
        <v>1.9999999999999997E-2</v>
      </c>
      <c r="G51" s="22">
        <f>STO_Composition!K29</f>
        <v>0.34236229986909683</v>
      </c>
      <c r="H51" s="22">
        <f>Gas_Composition!L29</f>
        <v>4.9999999999999989E-2</v>
      </c>
      <c r="I51" s="22">
        <f>STO_Composition!L29</f>
        <v>0.15067805123053746</v>
      </c>
      <c r="J51" s="8">
        <f t="shared" si="0"/>
        <v>0.22288329554221595</v>
      </c>
      <c r="K51" s="8">
        <f t="shared" si="1"/>
        <v>0.14303283162849895</v>
      </c>
      <c r="L51" s="25">
        <f t="shared" si="2"/>
        <v>5.8417647058823512E-2</v>
      </c>
      <c r="M51" s="8">
        <f t="shared" si="3"/>
        <v>1.1609957413386478</v>
      </c>
      <c r="N51" s="8">
        <f>IF(OR(STO_Composition!F29=0,STO_Composition!H29=0,STO_Composition!F29=STO_Composition!H29),"",(LOG10(STO_Composition!G29/14.7)/(1/STO_Composition!F29-1/STO_Composition!H29))*(1/STO_Composition!F29-1/$B$22))</f>
        <v>-0.46043608444975737</v>
      </c>
    </row>
    <row r="52" spans="1:14" x14ac:dyDescent="0.25">
      <c r="A52" s="9">
        <v>16</v>
      </c>
      <c r="B52" s="26" t="str">
        <f>STO_Composition!B30</f>
        <v>Cyclohex</v>
      </c>
      <c r="C52" s="27" t="str">
        <f>STO_Composition!C30</f>
        <v>Cyclohexane</v>
      </c>
      <c r="D52" s="28">
        <f>STO_Composition!D30</f>
        <v>84.161000000000001</v>
      </c>
      <c r="E52" s="22">
        <f>STO_Composition!E30</f>
        <v>0.78339999999999999</v>
      </c>
      <c r="F52" s="22">
        <f>Gas_Composition!K30</f>
        <v>5.9999999999999984E-2</v>
      </c>
      <c r="G52" s="22">
        <f>STO_Composition!K30</f>
        <v>0.75521095559359597</v>
      </c>
      <c r="H52" s="22">
        <f>Gas_Composition!L30</f>
        <v>0.17999999999999994</v>
      </c>
      <c r="I52" s="22">
        <f>STO_Composition!L30</f>
        <v>0.34153691612255155</v>
      </c>
      <c r="J52" s="8">
        <f t="shared" si="0"/>
        <v>0.49754089676478103</v>
      </c>
      <c r="K52" s="8">
        <f t="shared" si="1"/>
        <v>0.32927023850515258</v>
      </c>
      <c r="L52" s="25">
        <f t="shared" si="2"/>
        <v>7.9447999999999963E-2</v>
      </c>
      <c r="M52" s="8">
        <f t="shared" si="3"/>
        <v>1.2945346497088652</v>
      </c>
      <c r="N52" s="8">
        <f>IF(OR(STO_Composition!F30=0,STO_Composition!H30=0,STO_Composition!F30=STO_Composition!H30),"",(LOG10(STO_Composition!G30/14.7)/(1/STO_Composition!F30-1/STO_Composition!H30))*(1/STO_Composition!F30-1/$B$22))</f>
        <v>-0.45847310201417862</v>
      </c>
    </row>
    <row r="53" spans="1:14" x14ac:dyDescent="0.25">
      <c r="A53" s="9">
        <v>17</v>
      </c>
      <c r="B53" s="26" t="str">
        <f>STO_Composition!B31</f>
        <v>C7</v>
      </c>
      <c r="C53" s="27" t="str">
        <f>STO_Composition!C31</f>
        <v>Heptanes</v>
      </c>
      <c r="D53" s="28">
        <f>STO_Composition!D31</f>
        <v>100.205</v>
      </c>
      <c r="E53" s="22">
        <f>STO_Composition!E31</f>
        <v>0.72199999999999998</v>
      </c>
      <c r="F53" s="22">
        <f>Gas_Composition!K31</f>
        <v>0.13</v>
      </c>
      <c r="G53" s="22">
        <f>STO_Composition!K31</f>
        <v>6.1625213976437427</v>
      </c>
      <c r="H53" s="22">
        <f>Gas_Composition!L31</f>
        <v>0.36999999999999988</v>
      </c>
      <c r="I53" s="22">
        <f>STO_Composition!L31</f>
        <v>3.3550979407333004</v>
      </c>
      <c r="J53" s="8">
        <f t="shared" si="0"/>
        <v>3.9266530890240294</v>
      </c>
      <c r="K53" s="8">
        <f t="shared" si="1"/>
        <v>3.1284176562863886</v>
      </c>
      <c r="L53" s="25">
        <f t="shared" si="2"/>
        <v>2.1095261437908495E-2</v>
      </c>
      <c r="M53" s="8">
        <f t="shared" si="3"/>
        <v>0.71863659287819748</v>
      </c>
      <c r="N53" s="8">
        <f>IF(OR(STO_Composition!F31=0,STO_Composition!H31=0,STO_Composition!F31=STO_Composition!H31),"",(LOG10(STO_Composition!G31/14.7)/(1/STO_Composition!F31-1/STO_Composition!H31))*(1/STO_Composition!F31-1/$B$22))</f>
        <v>-0.7231719163173318</v>
      </c>
    </row>
    <row r="54" spans="1:14" x14ac:dyDescent="0.25">
      <c r="A54" s="9">
        <v>18</v>
      </c>
      <c r="B54" s="26" t="str">
        <f>STO_Composition!B32</f>
        <v>MCH</v>
      </c>
      <c r="C54" s="27" t="str">
        <f>STO_Composition!C32</f>
        <v>M-C-Hexane</v>
      </c>
      <c r="D54" s="28">
        <f>STO_Composition!D32</f>
        <v>98.188999999999993</v>
      </c>
      <c r="E54" s="22">
        <f>STO_Composition!E32</f>
        <v>0.7702</v>
      </c>
      <c r="F54" s="22">
        <f>Gas_Composition!K32</f>
        <v>1.9999999999999997E-2</v>
      </c>
      <c r="G54" s="22">
        <f>STO_Composition!K32</f>
        <v>1.3493102406605582</v>
      </c>
      <c r="H54" s="22">
        <f>Gas_Composition!L32</f>
        <v>6.9999999999999993E-2</v>
      </c>
      <c r="I54" s="22">
        <f>STO_Composition!L32</f>
        <v>0.72325464590657973</v>
      </c>
      <c r="J54" s="8">
        <f t="shared" si="0"/>
        <v>0.85662029503061143</v>
      </c>
      <c r="K54" s="8">
        <f t="shared" si="1"/>
        <v>0.67364825044137977</v>
      </c>
      <c r="L54" s="25">
        <f t="shared" si="2"/>
        <v>1.4822388059701487E-2</v>
      </c>
      <c r="M54" s="8">
        <f t="shared" si="3"/>
        <v>0.56536986001609535</v>
      </c>
      <c r="N54" s="8">
        <f>IF(OR(STO_Composition!F32=0,STO_Composition!H32=0,STO_Composition!F32=STO_Composition!H32),"",(LOG10(STO_Composition!G32/14.7)/(1/STO_Composition!F32-1/STO_Composition!H32))*(1/STO_Composition!F32-1/$B$22))</f>
        <v>-0.75050678824476524</v>
      </c>
    </row>
    <row r="55" spans="1:14" x14ac:dyDescent="0.25">
      <c r="A55" s="9">
        <v>19</v>
      </c>
      <c r="B55" s="26" t="str">
        <f>STO_Composition!B33</f>
        <v>Toluene</v>
      </c>
      <c r="C55" s="27" t="str">
        <f>STO_Composition!C33</f>
        <v>Toluene</v>
      </c>
      <c r="D55" s="28">
        <f>STO_Composition!D33</f>
        <v>92.141000000000005</v>
      </c>
      <c r="E55" s="22">
        <f>STO_Composition!E33</f>
        <v>0.87180000000000002</v>
      </c>
      <c r="F55" s="22">
        <f>Gas_Composition!K33</f>
        <v>2.9999999999999992E-2</v>
      </c>
      <c r="G55" s="22">
        <f>STO_Composition!K33</f>
        <v>0.99687846138354663</v>
      </c>
      <c r="H55" s="22">
        <f>Gas_Composition!L33</f>
        <v>4.9999999999999989E-2</v>
      </c>
      <c r="I55" s="22">
        <f>STO_Composition!L33</f>
        <v>0.50226017076845819</v>
      </c>
      <c r="J55" s="8">
        <f t="shared" si="0"/>
        <v>0.63851870306775371</v>
      </c>
      <c r="K55" s="8">
        <f t="shared" si="1"/>
        <v>0.46791675350402534</v>
      </c>
      <c r="L55" s="25">
        <f t="shared" si="2"/>
        <v>3.0093939393939381E-2</v>
      </c>
      <c r="M55" s="8">
        <f t="shared" si="3"/>
        <v>0.87293072283903428</v>
      </c>
      <c r="N55" s="8">
        <f>IF(OR(STO_Composition!F33=0,STO_Composition!H33=0,STO_Composition!F33=STO_Composition!H33),"",(LOG10(STO_Composition!G33/14.7)/(1/STO_Composition!F33-1/STO_Composition!H33))*(1/STO_Composition!F33-1/$B$22))</f>
        <v>-0.89215247804650255</v>
      </c>
    </row>
    <row r="56" spans="1:14" x14ac:dyDescent="0.25">
      <c r="A56" s="9">
        <v>20</v>
      </c>
      <c r="B56" s="26" t="str">
        <f>STO_Composition!B34</f>
        <v>C8</v>
      </c>
      <c r="C56" s="27" t="str">
        <f>STO_Composition!C34</f>
        <v>Octanes</v>
      </c>
      <c r="D56" s="28">
        <f>STO_Composition!D34</f>
        <v>114.232</v>
      </c>
      <c r="E56" s="22">
        <f>STO_Composition!E34</f>
        <v>0.745</v>
      </c>
      <c r="F56" s="22">
        <f>Gas_Composition!K34</f>
        <v>0.05</v>
      </c>
      <c r="G56" s="22">
        <f>STO_Composition!K34</f>
        <v>6.2330077534991455</v>
      </c>
      <c r="H56" s="22">
        <f>Gas_Composition!L34</f>
        <v>0.14999999999999997</v>
      </c>
      <c r="I56" s="22">
        <f>STO_Composition!L34</f>
        <v>3.8674033149171274</v>
      </c>
      <c r="J56" s="8">
        <f t="shared" si="0"/>
        <v>3.9413638161235713</v>
      </c>
      <c r="K56" s="8">
        <f t="shared" si="1"/>
        <v>3.5851137359620382</v>
      </c>
      <c r="L56" s="25">
        <f t="shared" si="2"/>
        <v>8.0218093699515342E-3</v>
      </c>
      <c r="M56" s="8">
        <f t="shared" si="3"/>
        <v>0.29872401803282278</v>
      </c>
      <c r="N56" s="8">
        <f>IF(OR(STO_Composition!F34=0,STO_Composition!H34=0,STO_Composition!F34=STO_Composition!H34),"",(LOG10(STO_Composition!G34/14.7)/(1/STO_Composition!F34-1/STO_Composition!H34))*(1/STO_Composition!F34-1/$B$22))</f>
        <v>-1.1289079872741656</v>
      </c>
    </row>
    <row r="57" spans="1:14" x14ac:dyDescent="0.25">
      <c r="A57" s="9">
        <v>21</v>
      </c>
      <c r="B57" s="26" t="str">
        <f>STO_Composition!B35</f>
        <v>E-Benzene</v>
      </c>
      <c r="C57" s="27" t="str">
        <f>STO_Composition!C35</f>
        <v>E-Benzene</v>
      </c>
      <c r="D57" s="28">
        <f>STO_Composition!D35</f>
        <v>106.16800000000001</v>
      </c>
      <c r="E57" s="22">
        <f>STO_Composition!E35</f>
        <v>0.872</v>
      </c>
      <c r="F57" s="22">
        <f>Gas_Composition!K35</f>
        <v>9.9999999999999985E-3</v>
      </c>
      <c r="G57" s="22">
        <f>STO_Composition!K35</f>
        <v>0.6545161615144498</v>
      </c>
      <c r="H57" s="22">
        <f>Gas_Composition!L35</f>
        <v>9.9999999999999985E-3</v>
      </c>
      <c r="I57" s="22">
        <f>STO_Composition!L35</f>
        <v>0.371672526368659</v>
      </c>
      <c r="J57" s="8">
        <f t="shared" si="0"/>
        <v>0.41563540752553774</v>
      </c>
      <c r="K57" s="8">
        <f t="shared" si="1"/>
        <v>0.34420809043335393</v>
      </c>
      <c r="L57" s="25">
        <f t="shared" si="2"/>
        <v>1.5278461538461534E-2</v>
      </c>
      <c r="M57" s="8">
        <f t="shared" si="3"/>
        <v>0.57853130607406633</v>
      </c>
      <c r="N57" s="8">
        <f>IF(OR(STO_Composition!F35=0,STO_Composition!H35=0,STO_Composition!F35=STO_Composition!H35),"",(LOG10(STO_Composition!G35/14.7)/(1/STO_Composition!F35-1/STO_Composition!H35))*(1/STO_Composition!F35-1/$B$22))</f>
        <v>-1.2540559002549254</v>
      </c>
    </row>
    <row r="58" spans="1:14" x14ac:dyDescent="0.25">
      <c r="A58" s="9">
        <v>22</v>
      </c>
      <c r="B58" s="26" t="str">
        <f>STO_Composition!B36</f>
        <v>M/P-Xylene</v>
      </c>
      <c r="C58" s="27" t="str">
        <f>STO_Composition!C36</f>
        <v>M/P-Xylene</v>
      </c>
      <c r="D58" s="28">
        <f>STO_Composition!D36</f>
        <v>106.16800000000001</v>
      </c>
      <c r="E58" s="22">
        <f>STO_Composition!E36</f>
        <v>0.86870000000000003</v>
      </c>
      <c r="F58" s="22">
        <f>Gas_Composition!K36</f>
        <v>9.9999999999999985E-3</v>
      </c>
      <c r="G58" s="22">
        <f>STO_Composition!K36</f>
        <v>1.2083375289497533</v>
      </c>
      <c r="H58" s="22">
        <f>Gas_Composition!L36</f>
        <v>9.9999999999999985E-3</v>
      </c>
      <c r="I58" s="22">
        <f>STO_Composition!L36</f>
        <v>0.69311903566047217</v>
      </c>
      <c r="J58" s="8">
        <f t="shared" si="0"/>
        <v>0.76419075724415508</v>
      </c>
      <c r="K58" s="8">
        <f t="shared" si="1"/>
        <v>0.64124481900526376</v>
      </c>
      <c r="L58" s="25">
        <f t="shared" si="2"/>
        <v>8.2758333333333312E-3</v>
      </c>
      <c r="M58" s="8">
        <f t="shared" si="3"/>
        <v>0.31226341666929708</v>
      </c>
      <c r="N58" s="8">
        <f>IF(OR(STO_Composition!F36=0,STO_Composition!H36=0,STO_Composition!F36=STO_Composition!H36),"",(LOG10(STO_Composition!G36/14.7)/(1/STO_Composition!F36-1/STO_Composition!H36))*(1/STO_Composition!F36-1/$B$22))</f>
        <v>-1.276294580424679</v>
      </c>
    </row>
    <row r="59" spans="1:14" x14ac:dyDescent="0.25">
      <c r="A59" s="9">
        <v>23</v>
      </c>
      <c r="B59" s="26" t="str">
        <f>STO_Composition!B37</f>
        <v>O-Xylene</v>
      </c>
      <c r="C59" s="27" t="str">
        <f>STO_Composition!C37</f>
        <v>O-Xylene</v>
      </c>
      <c r="D59" s="28">
        <f>STO_Composition!D37</f>
        <v>106.16800000000001</v>
      </c>
      <c r="E59" s="22">
        <f>STO_Composition!E37</f>
        <v>0.88480000000000003</v>
      </c>
      <c r="F59" s="22">
        <f>Gas_Composition!K37</f>
        <v>0</v>
      </c>
      <c r="G59" s="22">
        <f>STO_Composition!K37</f>
        <v>0.59409928506696208</v>
      </c>
      <c r="H59" s="22">
        <f>Gas_Composition!L37</f>
        <v>0</v>
      </c>
      <c r="I59" s="22">
        <f>STO_Composition!L37</f>
        <v>0.34153691612255155</v>
      </c>
      <c r="J59" s="8">
        <f t="shared" si="0"/>
        <v>0.37390482969815325</v>
      </c>
      <c r="K59" s="8">
        <f t="shared" si="1"/>
        <v>0.31560152410765419</v>
      </c>
      <c r="L59" s="25">
        <f t="shared" si="2"/>
        <v>0</v>
      </c>
      <c r="M59" s="8" t="str">
        <f t="shared" si="3"/>
        <v/>
      </c>
      <c r="N59" s="8">
        <f>IF(OR(STO_Composition!F37=0,STO_Composition!H37=0,STO_Composition!F37=STO_Composition!H37),"",(LOG10(STO_Composition!G37/14.7)/(1/STO_Composition!F37-1/STO_Composition!H37))*(1/STO_Composition!F37-1/$B$22))</f>
        <v>-1.3985375068195491</v>
      </c>
    </row>
    <row r="60" spans="1:14" x14ac:dyDescent="0.25">
      <c r="A60" s="9">
        <v>24</v>
      </c>
      <c r="B60" s="26" t="str">
        <f>STO_Composition!B38</f>
        <v>C9</v>
      </c>
      <c r="C60" s="27" t="str">
        <f>STO_Composition!C38</f>
        <v>Nonanes</v>
      </c>
      <c r="D60" s="28">
        <f>STO_Composition!D38</f>
        <v>128.25899999999999</v>
      </c>
      <c r="E60" s="22">
        <f>STO_Composition!E38</f>
        <v>0.76400000000000001</v>
      </c>
      <c r="F60" s="22">
        <f>Gas_Composition!K38</f>
        <v>2.9999999999999992E-2</v>
      </c>
      <c r="G60" s="22">
        <f>STO_Composition!K38</f>
        <v>5.205920853891854</v>
      </c>
      <c r="H60" s="22">
        <f>Gas_Composition!L38</f>
        <v>4.9999999999999989E-2</v>
      </c>
      <c r="I60" s="22">
        <f>STO_Composition!L38</f>
        <v>3.6263184329482674</v>
      </c>
      <c r="J60" s="8">
        <f t="shared" si="0"/>
        <v>3.2875393609292458</v>
      </c>
      <c r="K60" s="8">
        <f t="shared" si="1"/>
        <v>3.354742459312273</v>
      </c>
      <c r="L60" s="25">
        <f t="shared" si="2"/>
        <v>5.762669245647967E-3</v>
      </c>
      <c r="M60" s="8">
        <f t="shared" si="3"/>
        <v>0.15507537434264174</v>
      </c>
      <c r="N60" s="8">
        <f>IF(OR(STO_Composition!F38=0,STO_Composition!H38=0,STO_Composition!F38=STO_Composition!H38),"",(LOG10(STO_Composition!G38/14.7)/(1/STO_Composition!F38-1/STO_Composition!H38))*(1/STO_Composition!F38-1/$B$22))</f>
        <v>-1.5134250930145587</v>
      </c>
    </row>
    <row r="61" spans="1:14" x14ac:dyDescent="0.25">
      <c r="A61" s="9">
        <v>25</v>
      </c>
      <c r="B61" s="26" t="str">
        <f>STO_Composition!B39</f>
        <v>C10</v>
      </c>
      <c r="C61" s="27" t="str">
        <f>STO_Composition!C39</f>
        <v>Decanes</v>
      </c>
      <c r="D61" s="28">
        <f>STO_Composition!D39</f>
        <v>142.286</v>
      </c>
      <c r="E61" s="22">
        <f>STO_Composition!E39</f>
        <v>0.77800000000000002</v>
      </c>
      <c r="F61" s="22">
        <f>Gas_Composition!K39</f>
        <v>9.9999999999999985E-3</v>
      </c>
      <c r="G61" s="22">
        <f>STO_Composition!K39</f>
        <v>6.0416876447487677</v>
      </c>
      <c r="H61" s="22">
        <f>Gas_Composition!L39</f>
        <v>9.9999999999999985E-3</v>
      </c>
      <c r="I61" s="22">
        <f>STO_Composition!L39</f>
        <v>4.6710195881466614</v>
      </c>
      <c r="J61" s="8">
        <f t="shared" si="0"/>
        <v>3.806128354788453</v>
      </c>
      <c r="K61" s="8">
        <f t="shared" si="1"/>
        <v>4.3170743350826477</v>
      </c>
      <c r="L61" s="25">
        <f t="shared" si="2"/>
        <v>1.6551666666666661E-3</v>
      </c>
      <c r="M61" s="8">
        <f t="shared" si="3"/>
        <v>-0.38670658766672178</v>
      </c>
      <c r="N61" s="8">
        <f>IF(OR(STO_Composition!F39=0,STO_Composition!H39=0,STO_Composition!F39=STO_Composition!H39),"",(LOG10(STO_Composition!G39/14.7)/(1/STO_Composition!F39-1/STO_Composition!H39))*(1/STO_Composition!F39-1/$B$22))</f>
        <v>-1.8824418405394103</v>
      </c>
    </row>
    <row r="62" spans="1:14" x14ac:dyDescent="0.25">
      <c r="A62" s="9">
        <v>26</v>
      </c>
      <c r="B62" s="26" t="str">
        <f>STO_Composition!B40</f>
        <v>C11</v>
      </c>
      <c r="C62" s="27" t="str">
        <f>STO_Composition!C40</f>
        <v>C11</v>
      </c>
      <c r="D62" s="28">
        <f>STO_Composition!D40</f>
        <v>156</v>
      </c>
      <c r="E62" s="22">
        <f>STO_Composition!E40</f>
        <v>0.78900000000000003</v>
      </c>
      <c r="F62" s="22">
        <f>Gas_Composition!K40</f>
        <v>9.9999999999999985E-3</v>
      </c>
      <c r="G62" s="22">
        <f>STO_Composition!K40</f>
        <v>5.6389084684321817</v>
      </c>
      <c r="H62" s="22">
        <f>Gas_Composition!L40</f>
        <v>0</v>
      </c>
      <c r="I62" s="22">
        <f>STO_Composition!L40</f>
        <v>4.5102963335007544</v>
      </c>
      <c r="J62" s="8">
        <f t="shared" si="0"/>
        <v>3.5526335549930939</v>
      </c>
      <c r="K62" s="8">
        <f t="shared" si="1"/>
        <v>4.1677965977746094</v>
      </c>
      <c r="L62" s="25">
        <f t="shared" si="2"/>
        <v>1.7733928571428571E-3</v>
      </c>
      <c r="M62" s="8">
        <f t="shared" si="3"/>
        <v>-0.35674336428927844</v>
      </c>
      <c r="N62" s="8">
        <f>IF(OR(STO_Composition!F40=0,STO_Composition!H40=0,STO_Composition!F40=STO_Composition!H40),"",(LOG10(STO_Composition!G40/14.7)/(1/STO_Composition!F40-1/STO_Composition!H40))*(1/STO_Composition!F40-1/$B$22))</f>
        <v>-2.2783301178732107</v>
      </c>
    </row>
    <row r="63" spans="1:14" x14ac:dyDescent="0.25">
      <c r="A63" s="9">
        <v>27</v>
      </c>
      <c r="B63" s="26" t="str">
        <f>STO_Composition!B41</f>
        <v>C12</v>
      </c>
      <c r="C63" s="27" t="str">
        <f>STO_Composition!C41</f>
        <v>C12</v>
      </c>
      <c r="D63" s="28">
        <f>STO_Composition!D41</f>
        <v>170</v>
      </c>
      <c r="E63" s="22">
        <f>STO_Composition!E41</f>
        <v>0.8</v>
      </c>
      <c r="F63" s="22">
        <f>Gas_Composition!K41</f>
        <v>0</v>
      </c>
      <c r="G63" s="22">
        <f>STO_Composition!K41</f>
        <v>4.6017520894169781</v>
      </c>
      <c r="H63" s="22">
        <f>Gas_Composition!L41</f>
        <v>0</v>
      </c>
      <c r="I63" s="22">
        <f>STO_Composition!L41</f>
        <v>4.0281265695630344</v>
      </c>
      <c r="J63" s="8">
        <f t="shared" si="0"/>
        <v>2.8961780876619669</v>
      </c>
      <c r="K63" s="8">
        <f t="shared" si="1"/>
        <v>3.7222415049167448</v>
      </c>
      <c r="L63" s="25">
        <f t="shared" si="2"/>
        <v>0</v>
      </c>
      <c r="M63" s="8" t="str">
        <f t="shared" si="3"/>
        <v/>
      </c>
      <c r="N63" s="8">
        <f>IF(OR(STO_Composition!F41=0,STO_Composition!H41=0,STO_Composition!F41=STO_Composition!H41),"",(LOG10(STO_Composition!G41/14.7)/(1/STO_Composition!F41-1/STO_Composition!H41))*(1/STO_Composition!F41-1/$B$22))</f>
        <v>-2.6358398367738589</v>
      </c>
    </row>
    <row r="64" spans="1:14" x14ac:dyDescent="0.25">
      <c r="A64" s="9">
        <v>28</v>
      </c>
      <c r="B64" s="26" t="str">
        <f>STO_Composition!B42</f>
        <v>C13</v>
      </c>
      <c r="C64" s="27" t="str">
        <f>STO_Composition!C42</f>
        <v>C13</v>
      </c>
      <c r="D64" s="28">
        <f>STO_Composition!D42</f>
        <v>184</v>
      </c>
      <c r="E64" s="22">
        <f>STO_Composition!E42</f>
        <v>0.81100000000000005</v>
      </c>
      <c r="F64" s="22">
        <f>Gas_Composition!K42</f>
        <v>0</v>
      </c>
      <c r="G64" s="22">
        <f>STO_Composition!K42</f>
        <v>4.0580002013895893</v>
      </c>
      <c r="H64" s="22">
        <f>Gas_Composition!L42</f>
        <v>0</v>
      </c>
      <c r="I64" s="22">
        <f>STO_Composition!L42</f>
        <v>3.8573581115017581</v>
      </c>
      <c r="J64" s="8">
        <f t="shared" si="0"/>
        <v>2.5539601079382335</v>
      </c>
      <c r="K64" s="8">
        <f t="shared" si="1"/>
        <v>3.5644407428629172</v>
      </c>
      <c r="L64" s="25">
        <f t="shared" si="2"/>
        <v>0</v>
      </c>
      <c r="M64" s="8" t="str">
        <f t="shared" si="3"/>
        <v/>
      </c>
      <c r="N64" s="8">
        <f>IF(OR(STO_Composition!F42=0,STO_Composition!H42=0,STO_Composition!F42=STO_Composition!H42),"",(LOG10(STO_Composition!G42/14.7)/(1/STO_Composition!F42-1/STO_Composition!H42))*(1/STO_Composition!F42-1/$B$22))</f>
        <v>-3.0047175402559372</v>
      </c>
    </row>
    <row r="65" spans="1:14" x14ac:dyDescent="0.25">
      <c r="A65" s="9">
        <v>29</v>
      </c>
      <c r="B65" s="26" t="str">
        <f>STO_Composition!B43</f>
        <v>C14</v>
      </c>
      <c r="C65" s="27" t="str">
        <f>STO_Composition!C43</f>
        <v>C14</v>
      </c>
      <c r="D65" s="28">
        <f>STO_Composition!D43</f>
        <v>198</v>
      </c>
      <c r="E65" s="22">
        <f>STO_Composition!E43</f>
        <v>0.82199999999999995</v>
      </c>
      <c r="F65" s="22">
        <f>Gas_Composition!K43</f>
        <v>0</v>
      </c>
      <c r="G65" s="22">
        <f>STO_Composition!K43</f>
        <v>3.5343872721780287</v>
      </c>
      <c r="H65" s="22">
        <f>Gas_Composition!L43</f>
        <v>0</v>
      </c>
      <c r="I65" s="22">
        <f>STO_Composition!L43</f>
        <v>3.6464088397790064</v>
      </c>
      <c r="J65" s="8">
        <f t="shared" si="0"/>
        <v>2.2244168682042678</v>
      </c>
      <c r="K65" s="8">
        <f t="shared" si="1"/>
        <v>3.3695103897376022</v>
      </c>
      <c r="L65" s="25">
        <f t="shared" si="2"/>
        <v>0</v>
      </c>
      <c r="M65" s="8" t="str">
        <f t="shared" si="3"/>
        <v/>
      </c>
      <c r="N65" s="8">
        <f>IF(OR(STO_Composition!F43=0,STO_Composition!H43=0,STO_Composition!F43=STO_Composition!H43),"",(LOG10(STO_Composition!G43/14.7)/(1/STO_Composition!F43-1/STO_Composition!H43))*(1/STO_Composition!F43-1/$B$22))</f>
        <v>-3.3663676448132502</v>
      </c>
    </row>
    <row r="66" spans="1:14" x14ac:dyDescent="0.25">
      <c r="A66" s="9">
        <v>30</v>
      </c>
      <c r="B66" s="26" t="str">
        <f>STO_Composition!B44</f>
        <v>C15</v>
      </c>
      <c r="C66" s="27" t="str">
        <f>STO_Composition!C44</f>
        <v>C15</v>
      </c>
      <c r="D66" s="28">
        <f>STO_Composition!D44</f>
        <v>212</v>
      </c>
      <c r="E66" s="22">
        <f>STO_Composition!E44</f>
        <v>0.83199999999999996</v>
      </c>
      <c r="F66" s="22">
        <f>Gas_Composition!K44</f>
        <v>0</v>
      </c>
      <c r="G66" s="22">
        <f>STO_Composition!K44</f>
        <v>3.1517470546772737</v>
      </c>
      <c r="H66" s="22">
        <f>Gas_Composition!L44</f>
        <v>0</v>
      </c>
      <c r="I66" s="22">
        <f>STO_Composition!L44</f>
        <v>3.5258663987945762</v>
      </c>
      <c r="J66" s="8">
        <f t="shared" si="0"/>
        <v>1.9835968083986775</v>
      </c>
      <c r="K66" s="8">
        <f t="shared" si="1"/>
        <v>3.2581216165231357</v>
      </c>
      <c r="L66" s="25">
        <f t="shared" si="2"/>
        <v>0</v>
      </c>
      <c r="M66" s="8" t="str">
        <f t="shared" si="3"/>
        <v/>
      </c>
      <c r="N66" s="8">
        <f>IF(OR(STO_Composition!F44=0,STO_Composition!H44=0,STO_Composition!F44=STO_Composition!H44),"",(LOG10(STO_Composition!G44/14.7)/(1/STO_Composition!F44-1/STO_Composition!H44))*(1/STO_Composition!F44-1/$B$22))</f>
        <v>-3.7050719958216032</v>
      </c>
    </row>
    <row r="67" spans="1:14" x14ac:dyDescent="0.25">
      <c r="A67" s="9">
        <v>31</v>
      </c>
      <c r="B67" s="26" t="str">
        <f>STO_Composition!B45</f>
        <v>C16</v>
      </c>
      <c r="C67" s="27" t="str">
        <f>STO_Composition!C45</f>
        <v>C16</v>
      </c>
      <c r="D67" s="28">
        <f>STO_Composition!D45</f>
        <v>226</v>
      </c>
      <c r="E67" s="22">
        <f>STO_Composition!E45</f>
        <v>0.83899999999999997</v>
      </c>
      <c r="F67" s="22">
        <f>Gas_Composition!K45</f>
        <v>0</v>
      </c>
      <c r="G67" s="22">
        <f>STO_Composition!K45</f>
        <v>2.6382036048736284</v>
      </c>
      <c r="H67" s="22">
        <f>Gas_Composition!L45</f>
        <v>0</v>
      </c>
      <c r="I67" s="22">
        <f>STO_Composition!L45</f>
        <v>3.184329482672025</v>
      </c>
      <c r="J67" s="8">
        <f t="shared" si="0"/>
        <v>1.6603909386595959</v>
      </c>
      <c r="K67" s="8">
        <f t="shared" si="1"/>
        <v>2.942520092415482</v>
      </c>
      <c r="L67" s="25">
        <f t="shared" si="2"/>
        <v>0</v>
      </c>
      <c r="M67" s="8" t="str">
        <f t="shared" si="3"/>
        <v/>
      </c>
      <c r="N67" s="8">
        <f>IF(OR(STO_Composition!F45=0,STO_Composition!H45=0,STO_Composition!F45=STO_Composition!H45),"",(LOG10(STO_Composition!G45/14.7)/(1/STO_Composition!F45-1/STO_Composition!H45))*(1/STO_Composition!F45-1/$B$22))</f>
        <v>-4.0125822114157241</v>
      </c>
    </row>
    <row r="68" spans="1:14" x14ac:dyDescent="0.25">
      <c r="A68" s="9">
        <v>32</v>
      </c>
      <c r="B68" s="26" t="str">
        <f>STO_Composition!B46</f>
        <v>C17</v>
      </c>
      <c r="C68" s="27" t="str">
        <f>STO_Composition!C46</f>
        <v>C17</v>
      </c>
      <c r="D68" s="28">
        <f>STO_Composition!D46</f>
        <v>240</v>
      </c>
      <c r="E68" s="22">
        <f>STO_Composition!E46</f>
        <v>0.84699999999999998</v>
      </c>
      <c r="F68" s="22">
        <f>Gas_Composition!K46</f>
        <v>0</v>
      </c>
      <c r="G68" s="22">
        <f>STO_Composition!K46</f>
        <v>2.215285469741215</v>
      </c>
      <c r="H68" s="22">
        <f>Gas_Composition!L46</f>
        <v>0</v>
      </c>
      <c r="I68" s="22">
        <f>STO_Composition!L46</f>
        <v>2.8528377699648422</v>
      </c>
      <c r="J68" s="8">
        <f t="shared" si="0"/>
        <v>1.3942213988744701</v>
      </c>
      <c r="K68" s="8">
        <f t="shared" si="1"/>
        <v>2.6362009660756995</v>
      </c>
      <c r="L68" s="25">
        <f t="shared" si="2"/>
        <v>0</v>
      </c>
      <c r="M68" s="8" t="str">
        <f t="shared" si="3"/>
        <v/>
      </c>
      <c r="N68" s="8">
        <f>IF(OR(STO_Composition!F46=0,STO_Composition!H46=0,STO_Composition!F46=STO_Composition!H46),"",(LOG10(STO_Composition!G46/14.7)/(1/STO_Composition!F46-1/STO_Composition!H46))*(1/STO_Composition!F46-1/$B$22))</f>
        <v>-4.2943562707178415</v>
      </c>
    </row>
    <row r="69" spans="1:14" x14ac:dyDescent="0.25">
      <c r="A69" s="9">
        <v>33</v>
      </c>
      <c r="B69" s="26" t="str">
        <f>STO_Composition!B47</f>
        <v>C18</v>
      </c>
      <c r="C69" s="27" t="str">
        <f>STO_Composition!C47</f>
        <v>C18</v>
      </c>
      <c r="D69" s="28">
        <f>STO_Composition!D47</f>
        <v>254</v>
      </c>
      <c r="E69" s="22">
        <f>STO_Composition!E47</f>
        <v>0.85199999999999998</v>
      </c>
      <c r="F69" s="22">
        <f>Gas_Composition!K47</f>
        <v>0</v>
      </c>
      <c r="G69" s="22">
        <f>STO_Composition!K47</f>
        <v>2.0038264021750076</v>
      </c>
      <c r="H69" s="22">
        <f>Gas_Composition!L47</f>
        <v>0</v>
      </c>
      <c r="I69" s="22">
        <f>STO_Composition!L47</f>
        <v>2.7322953289804124</v>
      </c>
      <c r="J69" s="8">
        <f t="shared" ref="J69:J87" si="4">$B$29*F69+$B$30*G69</f>
        <v>1.2611366289819066</v>
      </c>
      <c r="K69" s="8">
        <f t="shared" ref="K69:K87" si="5">$B$31*H69+$B$32*I69</f>
        <v>2.5248121928612335</v>
      </c>
      <c r="L69" s="25">
        <f t="shared" ref="L69:L87" si="6">IF(G69=0,"",F69/G69)</f>
        <v>0</v>
      </c>
      <c r="M69" s="8" t="str">
        <f t="shared" ref="M69:M100" si="7">IF(OR(L69="",L69=0),"",LOG10(L69*$B$13))</f>
        <v/>
      </c>
      <c r="N69" s="8">
        <f>IF(OR(STO_Composition!F47=0,STO_Composition!H47=0,STO_Composition!F47=STO_Composition!H47),"",(LOG10(STO_Composition!G47/14.7)/(1/STO_Composition!F47-1/STO_Composition!H47))*(1/STO_Composition!F47-1/$B$22))</f>
        <v>-4.6050885055765134</v>
      </c>
    </row>
    <row r="70" spans="1:14" x14ac:dyDescent="0.25">
      <c r="A70" s="9">
        <v>34</v>
      </c>
      <c r="B70" s="26" t="str">
        <f>STO_Composition!B48</f>
        <v>C19</v>
      </c>
      <c r="C70" s="27" t="str">
        <f>STO_Composition!C48</f>
        <v>C19</v>
      </c>
      <c r="D70" s="28">
        <f>STO_Composition!D48</f>
        <v>268</v>
      </c>
      <c r="E70" s="22">
        <f>STO_Composition!E48</f>
        <v>0.85699999999999998</v>
      </c>
      <c r="F70" s="22">
        <f>Gas_Composition!K48</f>
        <v>0</v>
      </c>
      <c r="G70" s="22">
        <f>STO_Composition!K48</f>
        <v>1.9031316080958613</v>
      </c>
      <c r="H70" s="22">
        <f>Gas_Composition!L48</f>
        <v>0</v>
      </c>
      <c r="I70" s="22">
        <f>STO_Composition!L48</f>
        <v>2.7222501255650431</v>
      </c>
      <c r="J70" s="8">
        <f t="shared" si="4"/>
        <v>1.1977629290330669</v>
      </c>
      <c r="K70" s="8">
        <f t="shared" si="5"/>
        <v>2.5155297950933613</v>
      </c>
      <c r="L70" s="25">
        <f t="shared" si="6"/>
        <v>0</v>
      </c>
      <c r="M70" s="8" t="str">
        <f t="shared" si="7"/>
        <v/>
      </c>
      <c r="N70" s="8">
        <f>IF(OR(STO_Composition!F48=0,STO_Composition!H48=0,STO_Composition!F48=STO_Composition!H48),"",(LOG10(STO_Composition!G48/14.7)/(1/STO_Composition!F48-1/STO_Composition!H48))*(1/STO_Composition!F48-1/$B$22))</f>
        <v>-4.8065226823275902</v>
      </c>
    </row>
    <row r="71" spans="1:14" x14ac:dyDescent="0.25">
      <c r="A71" s="9">
        <v>35</v>
      </c>
      <c r="B71" s="26" t="str">
        <f>STO_Composition!B49</f>
        <v>C20</v>
      </c>
      <c r="C71" s="27" t="str">
        <f>STO_Composition!C49</f>
        <v>C20</v>
      </c>
      <c r="D71" s="28">
        <f>STO_Composition!D49</f>
        <v>282</v>
      </c>
      <c r="E71" s="22">
        <f>STO_Composition!E49</f>
        <v>0.86199999999999999</v>
      </c>
      <c r="F71" s="22">
        <f>Gas_Composition!K49</f>
        <v>0</v>
      </c>
      <c r="G71" s="22">
        <f>STO_Composition!K49</f>
        <v>1.6513946228979961</v>
      </c>
      <c r="H71" s="22">
        <f>Gas_Composition!L49</f>
        <v>0</v>
      </c>
      <c r="I71" s="22">
        <f>STO_Composition!L49</f>
        <v>2.4711200401808142</v>
      </c>
      <c r="J71" s="8">
        <f t="shared" si="4"/>
        <v>1.0393286791609682</v>
      </c>
      <c r="K71" s="8">
        <f t="shared" si="5"/>
        <v>2.2834698508965565</v>
      </c>
      <c r="L71" s="25">
        <f t="shared" si="6"/>
        <v>0</v>
      </c>
      <c r="M71" s="8" t="str">
        <f t="shared" si="7"/>
        <v/>
      </c>
      <c r="N71" s="8">
        <f>IF(OR(STO_Composition!F49=0,STO_Composition!H49=0,STO_Composition!F49=STO_Composition!H49),"",(LOG10(STO_Composition!G49/14.7)/(1/STO_Composition!F49-1/STO_Composition!H49))*(1/STO_Composition!F49-1/$B$22))</f>
        <v>-5.033791084857401</v>
      </c>
    </row>
    <row r="72" spans="1:14" x14ac:dyDescent="0.25">
      <c r="A72" s="9">
        <v>36</v>
      </c>
      <c r="B72" s="26" t="str">
        <f>STO_Composition!B50</f>
        <v>C21</v>
      </c>
      <c r="C72" s="27" t="str">
        <f>STO_Composition!C50</f>
        <v>C21</v>
      </c>
      <c r="D72" s="28">
        <f>STO_Composition!D50</f>
        <v>296</v>
      </c>
      <c r="E72" s="22">
        <f>STO_Composition!E50</f>
        <v>0.86699999999999999</v>
      </c>
      <c r="F72" s="22">
        <f>Gas_Composition!K50</f>
        <v>0</v>
      </c>
      <c r="G72" s="22">
        <f>STO_Composition!K50</f>
        <v>1.480213472963448</v>
      </c>
      <c r="H72" s="22">
        <f>Gas_Composition!L50</f>
        <v>0</v>
      </c>
      <c r="I72" s="22">
        <f>STO_Composition!L50</f>
        <v>2.3304871923656454</v>
      </c>
      <c r="J72" s="8">
        <f t="shared" si="4"/>
        <v>0.93159338924794111</v>
      </c>
      <c r="K72" s="8">
        <f t="shared" si="5"/>
        <v>2.1535162821463456</v>
      </c>
      <c r="L72" s="25">
        <f t="shared" si="6"/>
        <v>0</v>
      </c>
      <c r="M72" s="8" t="str">
        <f t="shared" si="7"/>
        <v/>
      </c>
      <c r="N72" s="8">
        <f>IF(OR(STO_Composition!F50=0,STO_Composition!H50=0,STO_Composition!F50=STO_Composition!H50),"",(LOG10(STO_Composition!G50/14.7)/(1/STO_Composition!F50-1/STO_Composition!H50))*(1/STO_Composition!F50-1/$B$22))</f>
        <v>-5.2112272355718643</v>
      </c>
    </row>
    <row r="73" spans="1:14" x14ac:dyDescent="0.25">
      <c r="A73" s="9">
        <v>37</v>
      </c>
      <c r="B73" s="26" t="str">
        <f>STO_Composition!B51</f>
        <v>C22</v>
      </c>
      <c r="C73" s="27" t="str">
        <f>STO_Composition!C51</f>
        <v>C22</v>
      </c>
      <c r="D73" s="28">
        <f>STO_Composition!D51</f>
        <v>310</v>
      </c>
      <c r="E73" s="22">
        <f>STO_Composition!E51</f>
        <v>0.872</v>
      </c>
      <c r="F73" s="22">
        <f>Gas_Composition!K51</f>
        <v>0</v>
      </c>
      <c r="G73" s="22">
        <f>STO_Composition!K51</f>
        <v>1.2888933642130704</v>
      </c>
      <c r="H73" s="22">
        <f>Gas_Composition!L51</f>
        <v>0</v>
      </c>
      <c r="I73" s="22">
        <f>STO_Composition!L51</f>
        <v>2.129583124058263</v>
      </c>
      <c r="J73" s="8">
        <f t="shared" si="4"/>
        <v>0.81118335934514607</v>
      </c>
      <c r="K73" s="8">
        <f t="shared" si="5"/>
        <v>1.9678683267889028</v>
      </c>
      <c r="L73" s="25">
        <f t="shared" si="6"/>
        <v>0</v>
      </c>
      <c r="M73" s="8" t="str">
        <f t="shared" si="7"/>
        <v/>
      </c>
      <c r="N73" s="8">
        <f>IF(OR(STO_Composition!F51=0,STO_Composition!H51=0,STO_Composition!F51=STO_Composition!H51),"",(LOG10(STO_Composition!G51/14.7)/(1/STO_Composition!F51-1/STO_Composition!H51))*(1/STO_Composition!F51-1/$B$22))</f>
        <v>-5.4271845756563541</v>
      </c>
    </row>
    <row r="74" spans="1:14" x14ac:dyDescent="0.25">
      <c r="A74" s="9">
        <v>38</v>
      </c>
      <c r="B74" s="26" t="str">
        <f>STO_Composition!B52</f>
        <v>C23</v>
      </c>
      <c r="C74" s="27" t="str">
        <f>STO_Composition!C52</f>
        <v>C23</v>
      </c>
      <c r="D74" s="28">
        <f>STO_Composition!D52</f>
        <v>324</v>
      </c>
      <c r="E74" s="22">
        <f>STO_Composition!E52</f>
        <v>0.877</v>
      </c>
      <c r="F74" s="22">
        <f>Gas_Composition!K52</f>
        <v>0</v>
      </c>
      <c r="G74" s="22">
        <f>STO_Composition!K52</f>
        <v>1.137851173094351</v>
      </c>
      <c r="H74" s="22">
        <f>Gas_Composition!L52</f>
        <v>0</v>
      </c>
      <c r="I74" s="22">
        <f>STO_Composition!L52</f>
        <v>1.9588146659969867</v>
      </c>
      <c r="J74" s="8">
        <f t="shared" si="4"/>
        <v>0.71612280942188666</v>
      </c>
      <c r="K74" s="8">
        <f t="shared" si="5"/>
        <v>1.8100675647350752</v>
      </c>
      <c r="L74" s="25">
        <f t="shared" si="6"/>
        <v>0</v>
      </c>
      <c r="M74" s="8" t="str">
        <f t="shared" si="7"/>
        <v/>
      </c>
      <c r="N74" s="8">
        <f>IF(OR(STO_Composition!F52=0,STO_Composition!H52=0,STO_Composition!F52=STO_Composition!H52),"",(LOG10(STO_Composition!G52/14.7)/(1/STO_Composition!F52-1/STO_Composition!H52))*(1/STO_Composition!F52-1/$B$22))</f>
        <v>-5.6243661611701103</v>
      </c>
    </row>
    <row r="75" spans="1:14" x14ac:dyDescent="0.25">
      <c r="A75" s="9">
        <v>39</v>
      </c>
      <c r="B75" s="26" t="str">
        <f>STO_Composition!B53</f>
        <v>C24</v>
      </c>
      <c r="C75" s="27" t="str">
        <f>STO_Composition!C53</f>
        <v>C24</v>
      </c>
      <c r="D75" s="28">
        <f>STO_Composition!D53</f>
        <v>338</v>
      </c>
      <c r="E75" s="22">
        <f>STO_Composition!E53</f>
        <v>0.88100000000000001</v>
      </c>
      <c r="F75" s="22">
        <f>Gas_Composition!K53</f>
        <v>0</v>
      </c>
      <c r="G75" s="22">
        <f>STO_Composition!K53</f>
        <v>1.0270868996072904</v>
      </c>
      <c r="H75" s="22">
        <f>Gas_Composition!L53</f>
        <v>0</v>
      </c>
      <c r="I75" s="22">
        <f>STO_Composition!L53</f>
        <v>1.8483174284279262</v>
      </c>
      <c r="J75" s="8">
        <f t="shared" si="4"/>
        <v>0.64641173947816322</v>
      </c>
      <c r="K75" s="8">
        <f t="shared" si="5"/>
        <v>1.7079611892884816</v>
      </c>
      <c r="L75" s="25">
        <f t="shared" si="6"/>
        <v>0</v>
      </c>
      <c r="M75" s="8" t="str">
        <f t="shared" si="7"/>
        <v/>
      </c>
      <c r="N75" s="8">
        <f>IF(OR(STO_Composition!F53=0,STO_Composition!H53=0,STO_Composition!F53=STO_Composition!H53),"",(LOG10(STO_Composition!G53/14.7)/(1/STO_Composition!F53-1/STO_Composition!H53))*(1/STO_Composition!F53-1/$B$22))</f>
        <v>-5.8157063905426627</v>
      </c>
    </row>
    <row r="76" spans="1:14" x14ac:dyDescent="0.25">
      <c r="A76" s="9">
        <v>40</v>
      </c>
      <c r="B76" s="26" t="str">
        <f>STO_Composition!B54</f>
        <v>C25</v>
      </c>
      <c r="C76" s="27" t="str">
        <f>STO_Composition!C54</f>
        <v>C25</v>
      </c>
      <c r="D76" s="28">
        <f>STO_Composition!D54</f>
        <v>352</v>
      </c>
      <c r="E76" s="22">
        <f>STO_Composition!E54</f>
        <v>0.88500000000000001</v>
      </c>
      <c r="F76" s="22">
        <f>Gas_Composition!K54</f>
        <v>0</v>
      </c>
      <c r="G76" s="22">
        <f>STO_Composition!K54</f>
        <v>0.90625314671231516</v>
      </c>
      <c r="H76" s="22">
        <f>Gas_Composition!L54</f>
        <v>0</v>
      </c>
      <c r="I76" s="22">
        <f>STO_Composition!L54</f>
        <v>1.7076845806127579</v>
      </c>
      <c r="J76" s="8">
        <f t="shared" si="4"/>
        <v>0.57036329953955589</v>
      </c>
      <c r="K76" s="8">
        <f t="shared" si="5"/>
        <v>1.5780076205382709</v>
      </c>
      <c r="L76" s="25">
        <f t="shared" si="6"/>
        <v>0</v>
      </c>
      <c r="M76" s="8" t="str">
        <f t="shared" si="7"/>
        <v/>
      </c>
      <c r="N76" s="8">
        <f>IF(OR(STO_Composition!F54=0,STO_Composition!H54=0,STO_Composition!F54=STO_Composition!H54),"",(LOG10(STO_Composition!G54/14.7)/(1/STO_Composition!F54-1/STO_Composition!H54))*(1/STO_Composition!F54-1/$B$22))</f>
        <v>-6.0049193723947143</v>
      </c>
    </row>
    <row r="77" spans="1:14" x14ac:dyDescent="0.25">
      <c r="A77" s="9">
        <v>41</v>
      </c>
      <c r="B77" s="26" t="str">
        <f>STO_Composition!B55</f>
        <v>C26</v>
      </c>
      <c r="C77" s="27" t="str">
        <f>STO_Composition!C55</f>
        <v>C26</v>
      </c>
      <c r="D77" s="28">
        <f>STO_Composition!D55</f>
        <v>366</v>
      </c>
      <c r="E77" s="22">
        <f>STO_Composition!E55</f>
        <v>0.88900000000000001</v>
      </c>
      <c r="F77" s="22">
        <f>Gas_Composition!K55</f>
        <v>0</v>
      </c>
      <c r="G77" s="22">
        <f>STO_Composition!K55</f>
        <v>0.82569731144899805</v>
      </c>
      <c r="H77" s="22">
        <f>Gas_Composition!L55</f>
        <v>0</v>
      </c>
      <c r="I77" s="22">
        <f>STO_Composition!L55</f>
        <v>1.5971873430436969</v>
      </c>
      <c r="J77" s="8">
        <f t="shared" si="4"/>
        <v>0.51966433958048408</v>
      </c>
      <c r="K77" s="8">
        <f t="shared" si="5"/>
        <v>1.4759012450916769</v>
      </c>
      <c r="L77" s="25">
        <f t="shared" si="6"/>
        <v>0</v>
      </c>
      <c r="M77" s="8" t="str">
        <f t="shared" si="7"/>
        <v/>
      </c>
      <c r="N77" s="8">
        <f>IF(OR(STO_Composition!F55=0,STO_Composition!H55=0,STO_Composition!F55=STO_Composition!H55),"",(LOG10(STO_Composition!G55/14.7)/(1/STO_Composition!F55-1/STO_Composition!H55))*(1/STO_Composition!F55-1/$B$22))</f>
        <v>-6.1956950621702349</v>
      </c>
    </row>
    <row r="78" spans="1:14" x14ac:dyDescent="0.25">
      <c r="A78" s="9">
        <v>42</v>
      </c>
      <c r="B78" s="26" t="str">
        <f>STO_Composition!B56</f>
        <v>C27</v>
      </c>
      <c r="C78" s="27" t="str">
        <f>STO_Composition!C56</f>
        <v>C27</v>
      </c>
      <c r="D78" s="28">
        <f>STO_Composition!D56</f>
        <v>380</v>
      </c>
      <c r="E78" s="22">
        <f>STO_Composition!E56</f>
        <v>0.89300000000000002</v>
      </c>
      <c r="F78" s="22">
        <f>Gas_Composition!K56</f>
        <v>0</v>
      </c>
      <c r="G78" s="22">
        <f>STO_Composition!K56</f>
        <v>0.73507199677776669</v>
      </c>
      <c r="H78" s="22">
        <f>Gas_Composition!L56</f>
        <v>0</v>
      </c>
      <c r="I78" s="22">
        <f>STO_Composition!L56</f>
        <v>1.4967353088900053</v>
      </c>
      <c r="J78" s="8">
        <f t="shared" si="4"/>
        <v>0.46262800962652861</v>
      </c>
      <c r="K78" s="8">
        <f t="shared" si="5"/>
        <v>1.383077267412955</v>
      </c>
      <c r="L78" s="25">
        <f t="shared" si="6"/>
        <v>0</v>
      </c>
      <c r="M78" s="8" t="str">
        <f t="shared" si="7"/>
        <v/>
      </c>
      <c r="N78" s="8">
        <f>IF(OR(STO_Composition!F56=0,STO_Composition!H56=0,STO_Composition!F56=STO_Composition!H56),"",(LOG10(STO_Composition!G56/14.7)/(1/STO_Composition!F56-1/STO_Composition!H56))*(1/STO_Composition!F56-1/$B$22))</f>
        <v>-6.4259576000031542</v>
      </c>
    </row>
    <row r="79" spans="1:14" x14ac:dyDescent="0.25">
      <c r="A79" s="9">
        <v>43</v>
      </c>
      <c r="B79" s="26" t="str">
        <f>STO_Composition!B57</f>
        <v>C28</v>
      </c>
      <c r="C79" s="27" t="str">
        <f>STO_Composition!C57</f>
        <v>C28</v>
      </c>
      <c r="D79" s="28">
        <f>STO_Composition!D57</f>
        <v>394</v>
      </c>
      <c r="E79" s="22">
        <f>STO_Composition!E57</f>
        <v>0.89600000000000002</v>
      </c>
      <c r="F79" s="22">
        <f>Gas_Composition!K57</f>
        <v>0</v>
      </c>
      <c r="G79" s="22">
        <f>STO_Composition!K57</f>
        <v>0.69479407914610825</v>
      </c>
      <c r="H79" s="22">
        <f>Gas_Composition!L57</f>
        <v>0</v>
      </c>
      <c r="I79" s="22">
        <f>STO_Composition!L57</f>
        <v>1.4766449020592669</v>
      </c>
      <c r="J79" s="8">
        <f t="shared" si="4"/>
        <v>0.43727852964699282</v>
      </c>
      <c r="K79" s="8">
        <f t="shared" si="5"/>
        <v>1.3645124718772106</v>
      </c>
      <c r="L79" s="25">
        <f t="shared" si="6"/>
        <v>0</v>
      </c>
      <c r="M79" s="8" t="str">
        <f t="shared" si="7"/>
        <v/>
      </c>
      <c r="N79" s="8">
        <f>IF(OR(STO_Composition!F57=0,STO_Composition!H57=0,STO_Composition!F57=STO_Composition!H57),"",(LOG10(STO_Composition!G57/14.7)/(1/STO_Composition!F57-1/STO_Composition!H57))*(1/STO_Composition!F57-1/$B$22))</f>
        <v>-6.5257869733309288</v>
      </c>
    </row>
    <row r="80" spans="1:14" x14ac:dyDescent="0.25">
      <c r="A80" s="9">
        <v>44</v>
      </c>
      <c r="B80" s="26" t="str">
        <f>STO_Composition!B58</f>
        <v>C29</v>
      </c>
      <c r="C80" s="27" t="str">
        <f>STO_Composition!C58</f>
        <v>C29</v>
      </c>
      <c r="D80" s="28">
        <f>STO_Composition!D58</f>
        <v>408</v>
      </c>
      <c r="E80" s="22">
        <f>STO_Composition!E58</f>
        <v>0.89900000000000002</v>
      </c>
      <c r="F80" s="22">
        <f>Gas_Composition!K58</f>
        <v>0</v>
      </c>
      <c r="G80" s="22">
        <f>STO_Composition!K58</f>
        <v>0.63437720269862063</v>
      </c>
      <c r="H80" s="22">
        <f>Gas_Composition!L58</f>
        <v>0</v>
      </c>
      <c r="I80" s="22">
        <f>STO_Composition!L58</f>
        <v>1.3862380713209443</v>
      </c>
      <c r="J80" s="8">
        <f t="shared" si="4"/>
        <v>0.3992543096776891</v>
      </c>
      <c r="K80" s="8">
        <f t="shared" si="5"/>
        <v>1.2809708919663609</v>
      </c>
      <c r="L80" s="25">
        <f t="shared" si="6"/>
        <v>0</v>
      </c>
      <c r="M80" s="8" t="str">
        <f t="shared" si="7"/>
        <v/>
      </c>
      <c r="N80" s="8">
        <f>IF(OR(STO_Composition!F58=0,STO_Composition!H58=0,STO_Composition!F58=STO_Composition!H58),"",(LOG10(STO_Composition!G58/14.7)/(1/STO_Composition!F58-1/STO_Composition!H58))*(1/STO_Composition!F58-1/$B$22))</f>
        <v>-6.7357443600563087</v>
      </c>
    </row>
    <row r="81" spans="1:14" x14ac:dyDescent="0.25">
      <c r="A81" s="9">
        <v>45</v>
      </c>
      <c r="B81" s="26" t="str">
        <f>STO_Composition!B59</f>
        <v>C30</v>
      </c>
      <c r="C81" s="27" t="str">
        <f>STO_Composition!C59</f>
        <v>C30</v>
      </c>
      <c r="D81" s="28">
        <f>STO_Composition!D59</f>
        <v>422</v>
      </c>
      <c r="E81" s="22">
        <f>STO_Composition!E59</f>
        <v>0.90200000000000002</v>
      </c>
      <c r="F81" s="22">
        <f>Gas_Composition!K59</f>
        <v>0</v>
      </c>
      <c r="G81" s="22">
        <f>STO_Composition!K59</f>
        <v>0.58402980565904739</v>
      </c>
      <c r="H81" s="22">
        <f>Gas_Composition!L59</f>
        <v>0</v>
      </c>
      <c r="I81" s="22">
        <f>STO_Composition!L59</f>
        <v>1.3058764439979913</v>
      </c>
      <c r="J81" s="8">
        <f t="shared" si="4"/>
        <v>0.36756745970326921</v>
      </c>
      <c r="K81" s="8">
        <f t="shared" si="5"/>
        <v>1.2067117098233837</v>
      </c>
      <c r="L81" s="25">
        <f t="shared" si="6"/>
        <v>0</v>
      </c>
      <c r="M81" s="8" t="str">
        <f t="shared" si="7"/>
        <v/>
      </c>
      <c r="N81" s="8">
        <f>IF(OR(STO_Composition!F59=0,STO_Composition!H59=0,STO_Composition!F59=STO_Composition!H59),"",(LOG10(STO_Composition!G59/14.7)/(1/STO_Composition!F59-1/STO_Composition!H59))*(1/STO_Composition!F59-1/$B$22))</f>
        <v>-6.9069315120309618</v>
      </c>
    </row>
    <row r="82" spans="1:14" x14ac:dyDescent="0.25">
      <c r="A82" s="9">
        <v>46</v>
      </c>
      <c r="B82" s="26" t="str">
        <f>STO_Composition!B60</f>
        <v>C31</v>
      </c>
      <c r="C82" s="27" t="str">
        <f>STO_Composition!C60</f>
        <v>C31</v>
      </c>
      <c r="D82" s="28">
        <f>STO_Composition!D60</f>
        <v>436</v>
      </c>
      <c r="E82" s="22">
        <f>STO_Composition!E60</f>
        <v>0.90600000000000003</v>
      </c>
      <c r="F82" s="22">
        <f>Gas_Composition!K60</f>
        <v>0</v>
      </c>
      <c r="G82" s="22">
        <f>STO_Composition!K60</f>
        <v>0.52361292921155977</v>
      </c>
      <c r="H82" s="22">
        <f>Gas_Composition!L60</f>
        <v>0</v>
      </c>
      <c r="I82" s="22">
        <f>STO_Composition!L60</f>
        <v>1.2154696132596687</v>
      </c>
      <c r="J82" s="8">
        <f t="shared" si="4"/>
        <v>0.32954323973396554</v>
      </c>
      <c r="K82" s="8">
        <f t="shared" si="5"/>
        <v>1.1231701299125341</v>
      </c>
      <c r="L82" s="25">
        <f t="shared" si="6"/>
        <v>0</v>
      </c>
      <c r="M82" s="8" t="str">
        <f t="shared" si="7"/>
        <v/>
      </c>
      <c r="N82" s="8">
        <f>IF(OR(STO_Composition!F60=0,STO_Composition!H60=0,STO_Composition!F60=STO_Composition!H60),"",(LOG10(STO_Composition!G60/14.7)/(1/STO_Composition!F60-1/STO_Composition!H60))*(1/STO_Composition!F60-1/$B$22))</f>
        <v>-7.0076282206363709</v>
      </c>
    </row>
    <row r="83" spans="1:14" x14ac:dyDescent="0.25">
      <c r="A83" s="9">
        <v>47</v>
      </c>
      <c r="B83" s="26" t="str">
        <f>STO_Composition!B61</f>
        <v>C32</v>
      </c>
      <c r="C83" s="27" t="str">
        <f>STO_Composition!C61</f>
        <v>C32</v>
      </c>
      <c r="D83" s="28">
        <f>STO_Composition!D61</f>
        <v>450</v>
      </c>
      <c r="E83" s="22">
        <f>STO_Composition!E61</f>
        <v>0.90900000000000003</v>
      </c>
      <c r="F83" s="22">
        <f>Gas_Composition!K61</f>
        <v>0</v>
      </c>
      <c r="G83" s="22">
        <f>STO_Composition!K61</f>
        <v>0.47326553217198675</v>
      </c>
      <c r="H83" s="22">
        <f>Gas_Composition!L61</f>
        <v>0</v>
      </c>
      <c r="I83" s="22">
        <f>STO_Composition!L61</f>
        <v>1.1351079859367155</v>
      </c>
      <c r="J83" s="8">
        <f t="shared" si="4"/>
        <v>0.29785638975954581</v>
      </c>
      <c r="K83" s="8">
        <f t="shared" si="5"/>
        <v>1.0489109477695566</v>
      </c>
      <c r="L83" s="25">
        <f t="shared" si="6"/>
        <v>0</v>
      </c>
      <c r="M83" s="8" t="str">
        <f t="shared" si="7"/>
        <v/>
      </c>
      <c r="N83" s="8">
        <f>IF(OR(STO_Composition!F61=0,STO_Composition!H61=0,STO_Composition!F61=STO_Composition!H61),"",(LOG10(STO_Composition!G61/14.7)/(1/STO_Composition!F61-1/STO_Composition!H61))*(1/STO_Composition!F61-1/$B$22))</f>
        <v>-7.0865519516706454</v>
      </c>
    </row>
    <row r="84" spans="1:14" x14ac:dyDescent="0.25">
      <c r="A84" s="9">
        <v>48</v>
      </c>
      <c r="B84" s="26" t="str">
        <f>STO_Composition!B62</f>
        <v>C33</v>
      </c>
      <c r="C84" s="27" t="str">
        <f>STO_Composition!C62</f>
        <v>C33</v>
      </c>
      <c r="D84" s="28">
        <f>STO_Composition!D62</f>
        <v>464</v>
      </c>
      <c r="E84" s="22">
        <f>STO_Composition!E62</f>
        <v>0.91200000000000003</v>
      </c>
      <c r="F84" s="22">
        <f>Gas_Composition!K62</f>
        <v>0</v>
      </c>
      <c r="G84" s="22">
        <f>STO_Composition!K62</f>
        <v>0.4329876145403283</v>
      </c>
      <c r="H84" s="22">
        <f>Gas_Composition!L62</f>
        <v>0</v>
      </c>
      <c r="I84" s="22">
        <f>STO_Composition!L62</f>
        <v>1.0647915620291315</v>
      </c>
      <c r="J84" s="8">
        <f t="shared" si="4"/>
        <v>0.27250690978000996</v>
      </c>
      <c r="K84" s="8">
        <f t="shared" si="5"/>
        <v>0.98393416339445139</v>
      </c>
      <c r="L84" s="25">
        <f t="shared" si="6"/>
        <v>0</v>
      </c>
      <c r="M84" s="8" t="str">
        <f t="shared" si="7"/>
        <v/>
      </c>
      <c r="N84" s="8">
        <f>IF(OR(STO_Composition!F62=0,STO_Composition!H62=0,STO_Composition!F62=STO_Composition!H62),"",(LOG10(STO_Composition!G62/14.7)/(1/STO_Composition!F62-1/STO_Composition!H62))*(1/STO_Composition!F62-1/$B$22))</f>
        <v>-7.2712687296783534</v>
      </c>
    </row>
    <row r="85" spans="1:14" x14ac:dyDescent="0.25">
      <c r="A85" s="9">
        <v>49</v>
      </c>
      <c r="B85" s="26" t="str">
        <f>STO_Composition!B63</f>
        <v>C34</v>
      </c>
      <c r="C85" s="27" t="str">
        <f>STO_Composition!C63</f>
        <v>C34</v>
      </c>
      <c r="D85" s="28">
        <f>STO_Composition!D63</f>
        <v>478</v>
      </c>
      <c r="E85" s="22">
        <f>STO_Composition!E63</f>
        <v>0.91500000000000004</v>
      </c>
      <c r="F85" s="22">
        <f>Gas_Composition!K63</f>
        <v>0</v>
      </c>
      <c r="G85" s="22">
        <f>STO_Composition!K63</f>
        <v>0.41284865572449903</v>
      </c>
      <c r="H85" s="22">
        <f>Gas_Composition!L63</f>
        <v>0</v>
      </c>
      <c r="I85" s="22">
        <f>STO_Composition!L63</f>
        <v>1.0547463586137622</v>
      </c>
      <c r="J85" s="8">
        <f t="shared" si="4"/>
        <v>0.25983216979024204</v>
      </c>
      <c r="K85" s="8">
        <f t="shared" si="5"/>
        <v>0.97465176562657907</v>
      </c>
      <c r="L85" s="25">
        <f t="shared" si="6"/>
        <v>0</v>
      </c>
      <c r="M85" s="8" t="str">
        <f t="shared" si="7"/>
        <v/>
      </c>
      <c r="N85" s="8">
        <f>IF(OR(STO_Composition!F63=0,STO_Composition!H63=0,STO_Composition!F63=STO_Composition!H63),"",(LOG10(STO_Composition!G63/14.7)/(1/STO_Composition!F63-1/STO_Composition!H63))*(1/STO_Composition!F63-1/$B$22))</f>
        <v>-7.3606561370718593</v>
      </c>
    </row>
    <row r="86" spans="1:14" x14ac:dyDescent="0.25">
      <c r="A86" s="9">
        <v>50</v>
      </c>
      <c r="B86" s="26" t="str">
        <f>STO_Composition!B64</f>
        <v>C35</v>
      </c>
      <c r="C86" s="27" t="str">
        <f>STO_Composition!C64</f>
        <v>C35</v>
      </c>
      <c r="D86" s="28">
        <f>STO_Composition!D64</f>
        <v>492</v>
      </c>
      <c r="E86" s="22">
        <f>STO_Composition!E64</f>
        <v>0.91700000000000004</v>
      </c>
      <c r="F86" s="22">
        <f>Gas_Composition!K64</f>
        <v>0</v>
      </c>
      <c r="G86" s="22">
        <f>STO_Composition!K64</f>
        <v>0.362501258684926</v>
      </c>
      <c r="H86" s="22">
        <f>Gas_Composition!L64</f>
        <v>0</v>
      </c>
      <c r="I86" s="22">
        <f>STO_Composition!L64</f>
        <v>0.96433952787543953</v>
      </c>
      <c r="J86" s="8">
        <f t="shared" si="4"/>
        <v>0.22814531981582231</v>
      </c>
      <c r="K86" s="8">
        <f t="shared" si="5"/>
        <v>0.89111018571572931</v>
      </c>
      <c r="L86" s="25">
        <f t="shared" si="6"/>
        <v>0</v>
      </c>
      <c r="M86" s="8" t="str">
        <f t="shared" si="7"/>
        <v/>
      </c>
      <c r="N86" s="8">
        <f>IF(OR(STO_Composition!F64=0,STO_Composition!H64=0,STO_Composition!F64=STO_Composition!H64),"",(LOG10(STO_Composition!G64/14.7)/(1/STO_Composition!F64-1/STO_Composition!H64))*(1/STO_Composition!F64-1/$B$22))</f>
        <v>-7.5255367285123018</v>
      </c>
    </row>
    <row r="87" spans="1:14" x14ac:dyDescent="0.25">
      <c r="A87" s="9">
        <v>51</v>
      </c>
      <c r="B87" s="26" t="str">
        <f>STO_Composition!B65</f>
        <v>C36+</v>
      </c>
      <c r="C87" s="27" t="str">
        <f>STO_Composition!C65</f>
        <v>C36+</v>
      </c>
      <c r="D87" s="28">
        <f>STO_Composition!D65</f>
        <v>635</v>
      </c>
      <c r="E87" s="22">
        <f>STO_Composition!E65</f>
        <v>0.94</v>
      </c>
      <c r="F87" s="22">
        <f>Gas_Composition!K65</f>
        <v>0</v>
      </c>
      <c r="G87" s="22">
        <f>STO_Composition!K65</f>
        <v>4.7225858423119531</v>
      </c>
      <c r="H87" s="22">
        <f>Gas_Composition!L65</f>
        <v>0</v>
      </c>
      <c r="I87" s="22">
        <f>STO_Composition!L65</f>
        <v>16.263184329482677</v>
      </c>
      <c r="J87" s="8">
        <f t="shared" si="4"/>
        <v>2.9722265276005744</v>
      </c>
      <c r="K87" s="8">
        <f t="shared" si="5"/>
        <v>15.028201986185064</v>
      </c>
      <c r="L87" s="25">
        <f t="shared" si="6"/>
        <v>0</v>
      </c>
      <c r="M87" s="8" t="str">
        <f t="shared" si="7"/>
        <v/>
      </c>
      <c r="N87" s="8">
        <f>IF(OR(STO_Composition!F65=0,STO_Composition!H65=0,STO_Composition!F65=STO_Composition!H65),"",(LOG10(STO_Composition!G65/14.7)/(1/STO_Composition!F65-1/STO_Composition!H65))*(1/STO_Composition!F65-1/$B$22))</f>
        <v>-9.4068758031784938</v>
      </c>
    </row>
    <row r="88" spans="1:14" x14ac:dyDescent="0.25">
      <c r="B88" s="16" t="s">
        <v>140</v>
      </c>
      <c r="F88" s="17">
        <f t="shared" ref="F88:K88" si="8">SUM(F37:F87)</f>
        <v>100</v>
      </c>
      <c r="G88" s="17">
        <f t="shared" si="8"/>
        <v>99.999999999999986</v>
      </c>
      <c r="H88" s="17">
        <f t="shared" si="8"/>
        <v>100</v>
      </c>
      <c r="I88" s="17">
        <f t="shared" si="8"/>
        <v>100.00000000000003</v>
      </c>
      <c r="J88" s="17">
        <f t="shared" si="8"/>
        <v>99.999999999999986</v>
      </c>
      <c r="K88" s="17">
        <f t="shared" si="8"/>
        <v>100.00000000000001</v>
      </c>
    </row>
    <row r="89" spans="1:14" x14ac:dyDescent="0.25">
      <c r="B89" s="1" t="s">
        <v>141</v>
      </c>
      <c r="J89" s="9" t="str">
        <f>IF(ABS(J88-100)&lt;=0.5,"PASS",IF(ABS(J88-100)&lt;=2,"REVIEW","FAIL"))</f>
        <v>PASS</v>
      </c>
      <c r="K89" s="9" t="str">
        <f>IF(ABS(K88-100)&lt;=0.5,"PASS",IF(ABS(K88-100)&lt;=2,"REVIEW","FAIL"))</f>
        <v>PASS</v>
      </c>
    </row>
    <row r="92" spans="1:14" ht="20.100000000000001" customHeight="1" x14ac:dyDescent="0.25">
      <c r="A92" s="42" t="s">
        <v>202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</row>
    <row r="93" spans="1:14" ht="20.100000000000001" customHeight="1" x14ac:dyDescent="0.25">
      <c r="A93" s="38" t="s">
        <v>203</v>
      </c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</row>
    <row r="94" spans="1:14" ht="38.1" customHeight="1" x14ac:dyDescent="0.25">
      <c r="A94" s="38" t="s">
        <v>204</v>
      </c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</row>
    <row r="95" spans="1:14" ht="38.1" customHeight="1" x14ac:dyDescent="0.25">
      <c r="A95" s="38" t="s">
        <v>205</v>
      </c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</row>
    <row r="96" spans="1:14" ht="32.1" customHeight="1" x14ac:dyDescent="0.25">
      <c r="A96" s="38" t="s">
        <v>206</v>
      </c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</row>
  </sheetData>
  <mergeCells count="11">
    <mergeCell ref="A96:N96"/>
    <mergeCell ref="A2:N2"/>
    <mergeCell ref="A95:N95"/>
    <mergeCell ref="A93:N93"/>
    <mergeCell ref="A1:N1"/>
    <mergeCell ref="A4:B4"/>
    <mergeCell ref="A94:N94"/>
    <mergeCell ref="A24:B24"/>
    <mergeCell ref="A16:B16"/>
    <mergeCell ref="A35:N35"/>
    <mergeCell ref="A92:N92"/>
  </mergeCells>
  <dataValidations count="1">
    <dataValidation type="list" sqref="B6" xr:uid="{00000000-0002-0000-0300-000000000000}">
      <formula1>"Separator,Stock Tank"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3" width="51.5703125" customWidth="1"/>
    <col min="4" max="4" width="6" customWidth="1"/>
  </cols>
  <sheetData>
    <row r="1" spans="1:4" ht="26.1" customHeight="1" x14ac:dyDescent="0.25">
      <c r="A1" s="41" t="s">
        <v>207</v>
      </c>
      <c r="B1" s="39"/>
      <c r="C1" s="39"/>
      <c r="D1" s="39"/>
    </row>
    <row r="2" spans="1:4" ht="15" customHeight="1" x14ac:dyDescent="0.25">
      <c r="A2" s="40" t="s">
        <v>208</v>
      </c>
      <c r="B2" s="39"/>
      <c r="C2" s="39"/>
      <c r="D2" s="39"/>
    </row>
    <row r="3" spans="1:4" ht="20.100000000000001" customHeight="1" x14ac:dyDescent="0.25">
      <c r="A3" s="44" t="s">
        <v>209</v>
      </c>
      <c r="B3" s="39"/>
      <c r="C3" s="39"/>
      <c r="D3" s="39"/>
    </row>
    <row r="4" spans="1:4" ht="20.100000000000001" customHeight="1" x14ac:dyDescent="0.25">
      <c r="A4" s="42" t="s">
        <v>210</v>
      </c>
      <c r="B4" s="39"/>
      <c r="C4" s="39"/>
      <c r="D4" s="39"/>
    </row>
    <row r="5" spans="1:4" x14ac:dyDescent="0.25">
      <c r="A5" s="1" t="s">
        <v>211</v>
      </c>
      <c r="B5" s="20">
        <v>1000</v>
      </c>
    </row>
    <row r="6" spans="1:4" ht="30" x14ac:dyDescent="0.25">
      <c r="A6" s="1" t="s">
        <v>212</v>
      </c>
      <c r="B6" s="20">
        <v>150</v>
      </c>
    </row>
    <row r="7" spans="1:4" x14ac:dyDescent="0.25">
      <c r="A7" s="29" t="s">
        <v>213</v>
      </c>
      <c r="B7" s="30">
        <v>2000</v>
      </c>
    </row>
    <row r="8" spans="1:4" x14ac:dyDescent="0.25">
      <c r="A8" s="29" t="s">
        <v>214</v>
      </c>
      <c r="B8" s="30">
        <v>75</v>
      </c>
    </row>
    <row r="9" spans="1:4" x14ac:dyDescent="0.25">
      <c r="A9" s="31" t="s">
        <v>215</v>
      </c>
      <c r="B9" s="32">
        <v>5000</v>
      </c>
    </row>
    <row r="10" spans="1:4" x14ac:dyDescent="0.25">
      <c r="A10" s="31" t="s">
        <v>216</v>
      </c>
      <c r="B10" s="32">
        <v>75</v>
      </c>
    </row>
    <row r="11" spans="1:4" x14ac:dyDescent="0.25">
      <c r="A11" s="31" t="s">
        <v>217</v>
      </c>
      <c r="B11" s="33">
        <v>0.85</v>
      </c>
    </row>
    <row r="12" spans="1:4" ht="30" x14ac:dyDescent="0.25">
      <c r="A12" s="29" t="s">
        <v>218</v>
      </c>
      <c r="B12" s="34">
        <v>0.88500000000000001</v>
      </c>
    </row>
    <row r="13" spans="1:4" x14ac:dyDescent="0.25">
      <c r="A13" s="1" t="s">
        <v>219</v>
      </c>
      <c r="B13" s="6">
        <v>0</v>
      </c>
    </row>
    <row r="15" spans="1:4" ht="20.100000000000001" customHeight="1" x14ac:dyDescent="0.25">
      <c r="A15" s="42" t="s">
        <v>220</v>
      </c>
      <c r="B15" s="39"/>
      <c r="C15" s="39"/>
      <c r="D15" s="39"/>
    </row>
    <row r="16" spans="1:4" x14ac:dyDescent="0.25">
      <c r="A16" s="1" t="s">
        <v>221</v>
      </c>
      <c r="B16" s="7">
        <f>B7+14.73</f>
        <v>2014.73</v>
      </c>
    </row>
    <row r="17" spans="1:4" x14ac:dyDescent="0.25">
      <c r="A17" s="1" t="s">
        <v>222</v>
      </c>
      <c r="B17" s="7">
        <f>B9+14.73</f>
        <v>5014.7299999999996</v>
      </c>
    </row>
    <row r="18" spans="1:4" x14ac:dyDescent="0.25">
      <c r="A18" s="1" t="s">
        <v>223</v>
      </c>
      <c r="B18" s="7">
        <f>(B8-32)*5/9+273.15</f>
        <v>297.03888888888889</v>
      </c>
    </row>
    <row r="19" spans="1:4" x14ac:dyDescent="0.25">
      <c r="A19" s="1" t="s">
        <v>224</v>
      </c>
      <c r="B19" s="7">
        <f>(B10-32)*5/9+273.15</f>
        <v>297.03888888888889</v>
      </c>
    </row>
    <row r="21" spans="1:4" ht="20.100000000000001" customHeight="1" x14ac:dyDescent="0.25">
      <c r="A21" s="42" t="s">
        <v>225</v>
      </c>
      <c r="B21" s="39"/>
      <c r="C21" s="39"/>
      <c r="D21" s="39"/>
    </row>
    <row r="22" spans="1:4" ht="21.95" customHeight="1" x14ac:dyDescent="0.25">
      <c r="A22" s="35" t="s">
        <v>226</v>
      </c>
      <c r="B22" s="36">
        <f>B6</f>
        <v>150</v>
      </c>
    </row>
    <row r="23" spans="1:4" ht="30" x14ac:dyDescent="0.25">
      <c r="A23" s="1" t="s">
        <v>227</v>
      </c>
      <c r="B23" s="7">
        <f>B22*B12/Recombination!B9</f>
        <v>161.9692532942899</v>
      </c>
    </row>
    <row r="24" spans="1:4" x14ac:dyDescent="0.25">
      <c r="A24" s="1" t="s">
        <v>228</v>
      </c>
      <c r="B24" s="19">
        <f>B23*Recombination!B9</f>
        <v>132.75</v>
      </c>
    </row>
    <row r="25" spans="1:4" x14ac:dyDescent="0.25">
      <c r="A25" s="1" t="s">
        <v>229</v>
      </c>
      <c r="B25" s="25">
        <f>B24/Recombination!B10</f>
        <v>0.70968707231024919</v>
      </c>
    </row>
    <row r="27" spans="1:4" ht="20.100000000000001" customHeight="1" x14ac:dyDescent="0.25">
      <c r="A27" s="42" t="s">
        <v>230</v>
      </c>
      <c r="B27" s="39"/>
      <c r="C27" s="39"/>
      <c r="D27" s="39"/>
    </row>
    <row r="28" spans="1:4" x14ac:dyDescent="0.25">
      <c r="A28" s="1" t="s">
        <v>231</v>
      </c>
      <c r="B28" s="37">
        <f>Recombination!B26</f>
        <v>2.580355943265643E-3</v>
      </c>
    </row>
    <row r="29" spans="1:4" x14ac:dyDescent="0.25">
      <c r="A29" s="1" t="s">
        <v>232</v>
      </c>
      <c r="B29" s="25">
        <f>B28*B23</f>
        <v>0.41793832536421927</v>
      </c>
    </row>
    <row r="30" spans="1:4" x14ac:dyDescent="0.25">
      <c r="A30" s="1" t="s">
        <v>233</v>
      </c>
      <c r="B30" s="7">
        <f>B29*Recombination!B12*Recombination!B17*Recombination!B18/Recombination!B19</f>
        <v>9779.4572029583396</v>
      </c>
    </row>
    <row r="31" spans="1:4" x14ac:dyDescent="0.25">
      <c r="A31" s="1" t="s">
        <v>234</v>
      </c>
      <c r="B31" s="8">
        <f>B17*Recombination!B12*Recombination!B18/(B11*B19*Recombination!B19)</f>
        <v>385.39224667010456</v>
      </c>
    </row>
    <row r="32" spans="1:4" ht="21.95" customHeight="1" x14ac:dyDescent="0.25">
      <c r="A32" s="35" t="s">
        <v>235</v>
      </c>
      <c r="B32" s="36">
        <f>B30/B31</f>
        <v>25.375334577837386</v>
      </c>
    </row>
    <row r="34" spans="1:4" ht="20.100000000000001" customHeight="1" x14ac:dyDescent="0.25">
      <c r="A34" s="42" t="s">
        <v>236</v>
      </c>
      <c r="B34" s="39"/>
      <c r="C34" s="39"/>
      <c r="D34" s="39"/>
    </row>
    <row r="35" spans="1:4" x14ac:dyDescent="0.25">
      <c r="A35" s="1" t="s">
        <v>237</v>
      </c>
      <c r="B35" s="8">
        <f>B32/B22</f>
        <v>0.16916889718558256</v>
      </c>
    </row>
    <row r="36" spans="1:4" x14ac:dyDescent="0.25">
      <c r="A36" s="1" t="s">
        <v>238</v>
      </c>
      <c r="B36" s="7">
        <f>B22+B32</f>
        <v>175.37533457783738</v>
      </c>
    </row>
    <row r="37" spans="1:4" x14ac:dyDescent="0.25">
      <c r="A37" s="1" t="s">
        <v>239</v>
      </c>
      <c r="B37" s="7">
        <f>B5</f>
        <v>1000</v>
      </c>
    </row>
    <row r="38" spans="1:4" x14ac:dyDescent="0.25">
      <c r="A38" s="1" t="s">
        <v>240</v>
      </c>
      <c r="B38" s="9" t="str">
        <f>IF(B36&lt;=B5*0.95,"FITS ✓","REDUCE LOADING")</f>
        <v>FITS ✓</v>
      </c>
    </row>
    <row r="39" spans="1:4" x14ac:dyDescent="0.25">
      <c r="A39" s="1" t="s">
        <v>241</v>
      </c>
      <c r="B39" s="7">
        <f>B36/B5*100</f>
        <v>17.537533457783738</v>
      </c>
    </row>
    <row r="41" spans="1:4" ht="20.100000000000001" customHeight="1" x14ac:dyDescent="0.25">
      <c r="A41" s="42" t="s">
        <v>242</v>
      </c>
      <c r="B41" s="39"/>
      <c r="C41" s="39"/>
      <c r="D41" s="39"/>
    </row>
    <row r="42" spans="1:4" x14ac:dyDescent="0.25">
      <c r="A42" s="1" t="s">
        <v>243</v>
      </c>
      <c r="B42" s="6">
        <v>108.96</v>
      </c>
    </row>
    <row r="43" spans="1:4" x14ac:dyDescent="0.25">
      <c r="A43" s="1" t="s">
        <v>244</v>
      </c>
      <c r="B43" s="6">
        <v>27.47</v>
      </c>
    </row>
    <row r="44" spans="1:4" x14ac:dyDescent="0.25">
      <c r="A44" s="1" t="s">
        <v>245</v>
      </c>
      <c r="B44" s="25">
        <f>B43*B17/(B11*Recombination!B17*B19)</f>
        <v>0.45243800677931995</v>
      </c>
    </row>
    <row r="45" spans="1:4" x14ac:dyDescent="0.25">
      <c r="A45" s="1" t="s">
        <v>246</v>
      </c>
      <c r="B45" s="7">
        <f>B44*Recombination!B12*Recombination!B17*Recombination!B18/Recombination!B19</f>
        <v>10586.725016027773</v>
      </c>
    </row>
    <row r="46" spans="1:4" x14ac:dyDescent="0.25">
      <c r="A46" s="1" t="s">
        <v>247</v>
      </c>
      <c r="B46" s="7">
        <f>B42*B12/Recombination!B9</f>
        <v>117.65446559297217</v>
      </c>
    </row>
    <row r="47" spans="1:4" x14ac:dyDescent="0.25">
      <c r="A47" s="1" t="s">
        <v>248</v>
      </c>
      <c r="B47" s="21">
        <f>B45/B46*Recombination!B21/Recombination!B20</f>
        <v>505.20861176202283</v>
      </c>
    </row>
    <row r="48" spans="1:4" x14ac:dyDescent="0.25">
      <c r="A48" s="1" t="s">
        <v>249</v>
      </c>
      <c r="B48" s="8">
        <f>B43/B42</f>
        <v>0.25211086637298091</v>
      </c>
    </row>
    <row r="49" spans="1:2" x14ac:dyDescent="0.25">
      <c r="A49" s="1" t="s">
        <v>250</v>
      </c>
      <c r="B49" s="7">
        <f>(B47-Recombination!B8)/Recombination!B8*100</f>
        <v>49.029089015345967</v>
      </c>
    </row>
    <row r="50" spans="1:2" x14ac:dyDescent="0.25">
      <c r="A50" s="1" t="s">
        <v>251</v>
      </c>
      <c r="B50" s="9" t="str">
        <f>IF(ABS(B49)&lt;=5,"PASS ≤5%",IF(ABS(B49)&lt;=10,"REVIEW ≤10%","FAIL &gt;10%"))</f>
        <v>FAIL &gt;10%</v>
      </c>
    </row>
  </sheetData>
  <mergeCells count="9">
    <mergeCell ref="A41:D41"/>
    <mergeCell ref="A2:D2"/>
    <mergeCell ref="A1:D1"/>
    <mergeCell ref="A27:D27"/>
    <mergeCell ref="A34:D34"/>
    <mergeCell ref="A4:D4"/>
    <mergeCell ref="A3:D3"/>
    <mergeCell ref="A21:D21"/>
    <mergeCell ref="A15:D1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75a2e7c-70fb-426a-9b9f-efd6a35da554}" enabled="1" method="Standard" siteId="{74892fe7-b6cb-43e7-912b-52194d3fd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Sample_Info</vt:lpstr>
      <vt:lpstr>STO_Composition</vt:lpstr>
      <vt:lpstr>Gas_Composition</vt:lpstr>
      <vt:lpstr>Recombination</vt:lpstr>
      <vt:lpstr>Loading_Volumes</vt:lpstr>
      <vt:lpstr>ActualGOR</vt:lpstr>
      <vt:lpstr>Fgas</vt:lpstr>
      <vt:lpstr>Foil</vt:lpstr>
      <vt:lpstr>GasChargeVol</vt:lpstr>
      <vt:lpstr>GOR_input</vt:lpstr>
      <vt:lpstr>GOR_type</vt:lpstr>
      <vt:lpstr>OilChargeVol</vt:lpstr>
      <vt:lpstr>TargetGOR</vt:lpstr>
      <vt:lpstr>WellstreamMW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Athif (ADNOC Technology)</dc:creator>
  <cp:keywords/>
  <dc:description/>
  <cp:lastModifiedBy>Muhammad Athif (ADNOC Technology)</cp:lastModifiedBy>
  <cp:revision/>
  <dcterms:created xsi:type="dcterms:W3CDTF">2026-07-04T11:40:26Z</dcterms:created>
  <dcterms:modified xsi:type="dcterms:W3CDTF">2026-07-06T06:28:34Z</dcterms:modified>
  <cp:category/>
  <cp:contentStatus/>
</cp:coreProperties>
</file>