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nocmpsa-my.sharepoint.com/personal/mathif_adnoc_ae/Documents/Desktop/PVT Calculation Sheet/CCE/"/>
    </mc:Choice>
  </mc:AlternateContent>
  <xr:revisionPtr revIDLastSave="18" documentId="11_C0ED14FEDECF60B17B9F00F41B00B5530AEFF9B3" xr6:coauthVersionLast="47" xr6:coauthVersionMax="47" xr10:uidLastSave="{E28C2CFB-A3B0-49B8-A779-1F55C190A17C}"/>
  <bookViews>
    <workbookView xWindow="-120" yWindow="-120" windowWidth="38640" windowHeight="21120" xr2:uid="{00000000-000D-0000-FFFF-FFFF00000000}"/>
  </bookViews>
  <sheets>
    <sheet name="CCE Calculation" sheetId="1" r:id="rId1"/>
    <sheet name="QC Protocol" sheetId="2" r:id="rId2"/>
    <sheet name="Mean Compressibility" sheetId="3" r:id="rId3"/>
    <sheet name="Summary" sheetId="4" r:id="rId4"/>
    <sheet name="PVTsim Compare" sheetId="5" r:id="rId5"/>
    <sheet name="Charts" sheetId="6" r:id="rId6"/>
    <sheet name="Report Tab" sheetId="7" r:id="rId7"/>
    <sheet name="Macro Ready" sheetId="8" r:id="rId8"/>
  </sheets>
  <definedNames>
    <definedName name="_xlnm.Print_Area" localSheetId="0">'CCE Calculation'!$A$1:$AM$55</definedName>
    <definedName name="_xlnm.Print_Titles" localSheetId="6">'Report Tab'!$1:$17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A62" i="7"/>
  <c r="A61" i="7"/>
  <c r="F60" i="7"/>
  <c r="D60" i="7"/>
  <c r="C60" i="7"/>
  <c r="A60" i="7"/>
  <c r="F59" i="7"/>
  <c r="A59" i="7"/>
  <c r="A58" i="7"/>
  <c r="A57" i="7"/>
  <c r="A56" i="7"/>
  <c r="A55" i="7"/>
  <c r="F54" i="7"/>
  <c r="D54" i="7"/>
  <c r="A54" i="7"/>
  <c r="F53" i="7"/>
  <c r="D53" i="7"/>
  <c r="C53" i="7"/>
  <c r="A53" i="7"/>
  <c r="A52" i="7"/>
  <c r="K51" i="7"/>
  <c r="A51" i="7"/>
  <c r="F50" i="7"/>
  <c r="D50" i="7"/>
  <c r="A50" i="7"/>
  <c r="F49" i="7"/>
  <c r="A49" i="7"/>
  <c r="F48" i="7"/>
  <c r="D48" i="7"/>
  <c r="A48" i="7"/>
  <c r="F47" i="7"/>
  <c r="D47" i="7"/>
  <c r="C47" i="7"/>
  <c r="A47" i="7"/>
  <c r="A46" i="7"/>
  <c r="A45" i="7"/>
  <c r="F44" i="7"/>
  <c r="B44" i="7"/>
  <c r="A44" i="7"/>
  <c r="F43" i="7"/>
  <c r="A43" i="7"/>
  <c r="E37" i="7"/>
  <c r="A37" i="7"/>
  <c r="F36" i="7"/>
  <c r="E36" i="7"/>
  <c r="D36" i="7"/>
  <c r="A36" i="7"/>
  <c r="F35" i="7"/>
  <c r="A35" i="7"/>
  <c r="A34" i="7"/>
  <c r="E33" i="7"/>
  <c r="A33" i="7"/>
  <c r="F32" i="7"/>
  <c r="A32" i="7"/>
  <c r="A31" i="7"/>
  <c r="F30" i="7"/>
  <c r="D30" i="7"/>
  <c r="A30" i="7"/>
  <c r="A29" i="7"/>
  <c r="A28" i="7"/>
  <c r="A27" i="7"/>
  <c r="F26" i="7"/>
  <c r="D26" i="7"/>
  <c r="A26" i="7"/>
  <c r="F25" i="7"/>
  <c r="E25" i="7"/>
  <c r="D25" i="7"/>
  <c r="A25" i="7"/>
  <c r="A24" i="7"/>
  <c r="A23" i="7"/>
  <c r="A22" i="7"/>
  <c r="E21" i="7"/>
  <c r="A21" i="7"/>
  <c r="A20" i="7"/>
  <c r="F19" i="7"/>
  <c r="E19" i="7"/>
  <c r="D19" i="7"/>
  <c r="A19" i="7"/>
  <c r="F18" i="7"/>
  <c r="E18" i="7"/>
  <c r="A18" i="7"/>
  <c r="B13" i="7"/>
  <c r="K11" i="7"/>
  <c r="K10" i="7"/>
  <c r="B8" i="7"/>
  <c r="B7" i="7"/>
  <c r="B6" i="7"/>
  <c r="B5" i="7"/>
  <c r="L46" i="5"/>
  <c r="N46" i="5" s="1"/>
  <c r="B46" i="5"/>
  <c r="A46" i="5"/>
  <c r="B45" i="5"/>
  <c r="A45" i="5"/>
  <c r="L44" i="5"/>
  <c r="N44" i="5" s="1"/>
  <c r="F44" i="5"/>
  <c r="H44" i="5" s="1"/>
  <c r="B44" i="5"/>
  <c r="A44" i="5"/>
  <c r="N43" i="5"/>
  <c r="L43" i="5"/>
  <c r="B43" i="5"/>
  <c r="A43" i="5"/>
  <c r="F42" i="5"/>
  <c r="H42" i="5" s="1"/>
  <c r="B42" i="5"/>
  <c r="A42" i="5"/>
  <c r="B41" i="5"/>
  <c r="A41" i="5"/>
  <c r="B40" i="5"/>
  <c r="A40" i="5"/>
  <c r="H39" i="5"/>
  <c r="F39" i="5"/>
  <c r="B39" i="5"/>
  <c r="A39" i="5"/>
  <c r="B38" i="5"/>
  <c r="A38" i="5"/>
  <c r="L37" i="5"/>
  <c r="N37" i="5" s="1"/>
  <c r="H37" i="5"/>
  <c r="F37" i="5"/>
  <c r="B37" i="5"/>
  <c r="A37" i="5"/>
  <c r="B36" i="5"/>
  <c r="A36" i="5"/>
  <c r="B35" i="5"/>
  <c r="A35" i="5"/>
  <c r="N34" i="5"/>
  <c r="L34" i="5"/>
  <c r="B34" i="5"/>
  <c r="A34" i="5"/>
  <c r="B33" i="5"/>
  <c r="A33" i="5"/>
  <c r="L32" i="5"/>
  <c r="N32" i="5" s="1"/>
  <c r="F32" i="5"/>
  <c r="H32" i="5" s="1"/>
  <c r="B32" i="5"/>
  <c r="A32" i="5"/>
  <c r="L31" i="5"/>
  <c r="N31" i="5" s="1"/>
  <c r="B31" i="5"/>
  <c r="A31" i="5"/>
  <c r="F30" i="5"/>
  <c r="H30" i="5" s="1"/>
  <c r="B30" i="5"/>
  <c r="A30" i="5"/>
  <c r="L29" i="5"/>
  <c r="N29" i="5" s="1"/>
  <c r="B29" i="5"/>
  <c r="A29" i="5"/>
  <c r="B28" i="5"/>
  <c r="A28" i="5"/>
  <c r="B27" i="5"/>
  <c r="A27" i="5"/>
  <c r="B26" i="5"/>
  <c r="A26" i="5"/>
  <c r="L25" i="5"/>
  <c r="N25" i="5" s="1"/>
  <c r="I25" i="5"/>
  <c r="K25" i="5" s="1"/>
  <c r="B25" i="5"/>
  <c r="A25" i="5"/>
  <c r="B24" i="5"/>
  <c r="A24" i="5"/>
  <c r="B23" i="5"/>
  <c r="A23" i="5"/>
  <c r="N22" i="5"/>
  <c r="L22" i="5"/>
  <c r="I22" i="5"/>
  <c r="K22" i="5" s="1"/>
  <c r="B22" i="5"/>
  <c r="A22" i="5"/>
  <c r="B21" i="5"/>
  <c r="A21" i="5"/>
  <c r="L20" i="5"/>
  <c r="N20" i="5" s="1"/>
  <c r="I20" i="5"/>
  <c r="K20" i="5" s="1"/>
  <c r="B20" i="5"/>
  <c r="A20" i="5"/>
  <c r="L19" i="5"/>
  <c r="N19" i="5" s="1"/>
  <c r="B19" i="5"/>
  <c r="A19" i="5"/>
  <c r="B18" i="5"/>
  <c r="A18" i="5"/>
  <c r="B17" i="5"/>
  <c r="A17" i="5"/>
  <c r="B16" i="5"/>
  <c r="A16" i="5"/>
  <c r="I15" i="5"/>
  <c r="K15" i="5" s="1"/>
  <c r="B15" i="5"/>
  <c r="A15" i="5"/>
  <c r="B14" i="5"/>
  <c r="A14" i="5"/>
  <c r="L13" i="5"/>
  <c r="N13" i="5" s="1"/>
  <c r="I13" i="5"/>
  <c r="K13" i="5" s="1"/>
  <c r="B13" i="5"/>
  <c r="A13" i="5"/>
  <c r="I12" i="5"/>
  <c r="K12" i="5" s="1"/>
  <c r="B12" i="5"/>
  <c r="A12" i="5"/>
  <c r="B11" i="5"/>
  <c r="A11" i="5"/>
  <c r="I10" i="5"/>
  <c r="K10" i="5" s="1"/>
  <c r="B10" i="5"/>
  <c r="A10" i="5"/>
  <c r="B9" i="5"/>
  <c r="A9" i="5"/>
  <c r="L8" i="5"/>
  <c r="N8" i="5" s="1"/>
  <c r="I8" i="5"/>
  <c r="K8" i="5" s="1"/>
  <c r="B8" i="5"/>
  <c r="A8" i="5"/>
  <c r="B7" i="5"/>
  <c r="A7" i="5"/>
  <c r="C8" i="4"/>
  <c r="B9" i="7" s="1"/>
  <c r="H7" i="3"/>
  <c r="C7" i="3"/>
  <c r="B7" i="3"/>
  <c r="C6" i="3"/>
  <c r="B6" i="3"/>
  <c r="C5" i="3"/>
  <c r="B5" i="3"/>
  <c r="C4" i="3"/>
  <c r="B4" i="3"/>
  <c r="P55" i="1"/>
  <c r="O55" i="1"/>
  <c r="I55" i="1"/>
  <c r="H55" i="1"/>
  <c r="F62" i="7" s="1"/>
  <c r="F55" i="1"/>
  <c r="E55" i="1"/>
  <c r="P54" i="1"/>
  <c r="O54" i="1"/>
  <c r="I54" i="1"/>
  <c r="H54" i="1"/>
  <c r="F61" i="7" s="1"/>
  <c r="F54" i="1"/>
  <c r="E54" i="1"/>
  <c r="D54" i="1"/>
  <c r="U54" i="1" s="1"/>
  <c r="T53" i="1"/>
  <c r="R53" i="1"/>
  <c r="P53" i="1"/>
  <c r="O53" i="1"/>
  <c r="I53" i="1"/>
  <c r="H53" i="1"/>
  <c r="F53" i="1"/>
  <c r="E53" i="1"/>
  <c r="T52" i="1"/>
  <c r="R52" i="1"/>
  <c r="P52" i="1"/>
  <c r="O52" i="1"/>
  <c r="I52" i="1"/>
  <c r="H52" i="1"/>
  <c r="F52" i="1"/>
  <c r="D59" i="7" s="1"/>
  <c r="E52" i="1"/>
  <c r="C59" i="7" s="1"/>
  <c r="P51" i="1"/>
  <c r="O51" i="1"/>
  <c r="I51" i="1"/>
  <c r="H51" i="1"/>
  <c r="F58" i="7" s="1"/>
  <c r="F51" i="1"/>
  <c r="E51" i="1"/>
  <c r="C58" i="7" s="1"/>
  <c r="P50" i="1"/>
  <c r="O50" i="1"/>
  <c r="I50" i="1"/>
  <c r="H50" i="1"/>
  <c r="F57" i="7" s="1"/>
  <c r="F50" i="1"/>
  <c r="T50" i="1" s="1"/>
  <c r="E50" i="1"/>
  <c r="R50" i="1" s="1"/>
  <c r="P49" i="1"/>
  <c r="O49" i="1"/>
  <c r="I49" i="1"/>
  <c r="H49" i="1"/>
  <c r="F56" i="7" s="1"/>
  <c r="F49" i="1"/>
  <c r="E49" i="1"/>
  <c r="C56" i="7" s="1"/>
  <c r="D49" i="1"/>
  <c r="C40" i="5" s="1"/>
  <c r="E40" i="5" s="1"/>
  <c r="P48" i="1"/>
  <c r="O48" i="1"/>
  <c r="I48" i="1"/>
  <c r="H48" i="1"/>
  <c r="F55" i="7" s="1"/>
  <c r="F48" i="1"/>
  <c r="D55" i="7" s="1"/>
  <c r="E48" i="1"/>
  <c r="T47" i="1"/>
  <c r="R47" i="1"/>
  <c r="P47" i="1"/>
  <c r="O47" i="1"/>
  <c r="I47" i="1"/>
  <c r="H47" i="1"/>
  <c r="F47" i="1"/>
  <c r="L38" i="5" s="1"/>
  <c r="N38" i="5" s="1"/>
  <c r="E47" i="1"/>
  <c r="F38" i="5" s="1"/>
  <c r="H38" i="5" s="1"/>
  <c r="T46" i="1"/>
  <c r="R46" i="1"/>
  <c r="P46" i="1"/>
  <c r="O46" i="1"/>
  <c r="I46" i="1"/>
  <c r="H46" i="1"/>
  <c r="F46" i="1"/>
  <c r="E46" i="1"/>
  <c r="T45" i="1"/>
  <c r="R45" i="1"/>
  <c r="P45" i="1"/>
  <c r="O45" i="1"/>
  <c r="I45" i="1"/>
  <c r="H45" i="1"/>
  <c r="F52" i="7" s="1"/>
  <c r="F45" i="1"/>
  <c r="D52" i="7" s="1"/>
  <c r="E45" i="1"/>
  <c r="P44" i="1"/>
  <c r="O44" i="1"/>
  <c r="I44" i="1"/>
  <c r="H44" i="1"/>
  <c r="F51" i="7" s="1"/>
  <c r="F44" i="1"/>
  <c r="E44" i="1"/>
  <c r="R44" i="1" s="1"/>
  <c r="D44" i="1"/>
  <c r="G44" i="1" s="1"/>
  <c r="P43" i="1"/>
  <c r="O43" i="1"/>
  <c r="I43" i="1"/>
  <c r="H43" i="1"/>
  <c r="F43" i="1"/>
  <c r="T43" i="1" s="1"/>
  <c r="E43" i="1"/>
  <c r="R43" i="1" s="1"/>
  <c r="D43" i="1"/>
  <c r="G43" i="1" s="1"/>
  <c r="P42" i="1"/>
  <c r="O42" i="1"/>
  <c r="I42" i="1"/>
  <c r="H42" i="1"/>
  <c r="F42" i="1"/>
  <c r="T42" i="1" s="1"/>
  <c r="E42" i="1"/>
  <c r="T41" i="1"/>
  <c r="R41" i="1"/>
  <c r="P41" i="1"/>
  <c r="O41" i="1"/>
  <c r="I41" i="1"/>
  <c r="H41" i="1"/>
  <c r="F41" i="1"/>
  <c r="E41" i="1"/>
  <c r="C48" i="7" s="1"/>
  <c r="T40" i="1"/>
  <c r="R40" i="1"/>
  <c r="P40" i="1"/>
  <c r="O40" i="1"/>
  <c r="I40" i="1"/>
  <c r="H40" i="1"/>
  <c r="F40" i="1"/>
  <c r="E40" i="1"/>
  <c r="F31" i="5" s="1"/>
  <c r="H31" i="5" s="1"/>
  <c r="P39" i="1"/>
  <c r="O39" i="1"/>
  <c r="I39" i="1"/>
  <c r="H39" i="1"/>
  <c r="F46" i="7" s="1"/>
  <c r="F39" i="1"/>
  <c r="E39" i="1"/>
  <c r="C46" i="7" s="1"/>
  <c r="P38" i="1"/>
  <c r="O38" i="1"/>
  <c r="I38" i="1"/>
  <c r="H38" i="1"/>
  <c r="F45" i="7" s="1"/>
  <c r="F38" i="1"/>
  <c r="E38" i="1"/>
  <c r="F29" i="5" s="1"/>
  <c r="H29" i="5" s="1"/>
  <c r="P37" i="1"/>
  <c r="O37" i="1"/>
  <c r="I37" i="1"/>
  <c r="H37" i="1"/>
  <c r="F37" i="1"/>
  <c r="D44" i="7" s="1"/>
  <c r="E37" i="1"/>
  <c r="C44" i="7" s="1"/>
  <c r="D37" i="1"/>
  <c r="G37" i="1" s="1"/>
  <c r="P36" i="1"/>
  <c r="O36" i="1"/>
  <c r="I36" i="1"/>
  <c r="H36" i="1"/>
  <c r="F36" i="1"/>
  <c r="D43" i="7" s="1"/>
  <c r="E36" i="1"/>
  <c r="F27" i="5" s="1"/>
  <c r="H27" i="5" s="1"/>
  <c r="T35" i="1"/>
  <c r="S35" i="1"/>
  <c r="P35" i="1"/>
  <c r="O35" i="1"/>
  <c r="I35" i="1"/>
  <c r="H35" i="1"/>
  <c r="F37" i="7" s="1"/>
  <c r="G35" i="1"/>
  <c r="I26" i="5" s="1"/>
  <c r="K26" i="5" s="1"/>
  <c r="F35" i="1"/>
  <c r="L26" i="5" s="1"/>
  <c r="N26" i="5" s="1"/>
  <c r="T34" i="1"/>
  <c r="S34" i="1"/>
  <c r="P34" i="1"/>
  <c r="O34" i="1"/>
  <c r="I34" i="1"/>
  <c r="H34" i="1"/>
  <c r="G34" i="1"/>
  <c r="F34" i="1"/>
  <c r="T33" i="1"/>
  <c r="S33" i="1"/>
  <c r="P33" i="1"/>
  <c r="O33" i="1"/>
  <c r="I33" i="1"/>
  <c r="H33" i="1"/>
  <c r="G33" i="1"/>
  <c r="E35" i="7" s="1"/>
  <c r="F33" i="1"/>
  <c r="L24" i="5" s="1"/>
  <c r="N24" i="5" s="1"/>
  <c r="P32" i="1"/>
  <c r="O32" i="1"/>
  <c r="I32" i="1"/>
  <c r="H32" i="1"/>
  <c r="F34" i="7" s="1"/>
  <c r="G32" i="1"/>
  <c r="F32" i="1"/>
  <c r="D32" i="1"/>
  <c r="J32" i="1" s="1"/>
  <c r="K32" i="1" s="1"/>
  <c r="L32" i="1" s="1"/>
  <c r="G34" i="7" s="1"/>
  <c r="P31" i="1"/>
  <c r="O31" i="1"/>
  <c r="I31" i="1"/>
  <c r="H31" i="1"/>
  <c r="F33" i="7" s="1"/>
  <c r="G31" i="1"/>
  <c r="S31" i="1" s="1"/>
  <c r="F31" i="1"/>
  <c r="P30" i="1"/>
  <c r="O30" i="1"/>
  <c r="I30" i="1"/>
  <c r="H30" i="1"/>
  <c r="G30" i="1"/>
  <c r="I21" i="5" s="1"/>
  <c r="K21" i="5" s="1"/>
  <c r="F30" i="1"/>
  <c r="L21" i="5" s="1"/>
  <c r="N21" i="5" s="1"/>
  <c r="D30" i="1"/>
  <c r="U30" i="1" s="1"/>
  <c r="T29" i="1"/>
  <c r="S29" i="1"/>
  <c r="P29" i="1"/>
  <c r="O29" i="1"/>
  <c r="I29" i="1"/>
  <c r="H29" i="1"/>
  <c r="F31" i="7" s="1"/>
  <c r="G29" i="1"/>
  <c r="E31" i="7" s="1"/>
  <c r="F29" i="1"/>
  <c r="D31" i="7" s="1"/>
  <c r="T28" i="1"/>
  <c r="S28" i="1"/>
  <c r="P28" i="1"/>
  <c r="O28" i="1"/>
  <c r="I28" i="1"/>
  <c r="H28" i="1"/>
  <c r="G28" i="1"/>
  <c r="I19" i="5" s="1"/>
  <c r="K19" i="5" s="1"/>
  <c r="F28" i="1"/>
  <c r="P27" i="1"/>
  <c r="O27" i="1"/>
  <c r="I27" i="1"/>
  <c r="H27" i="1"/>
  <c r="F29" i="7" s="1"/>
  <c r="G27" i="1"/>
  <c r="S27" i="1" s="1"/>
  <c r="F27" i="1"/>
  <c r="L18" i="5" s="1"/>
  <c r="N18" i="5" s="1"/>
  <c r="P26" i="1"/>
  <c r="O26" i="1"/>
  <c r="I26" i="1"/>
  <c r="H26" i="1"/>
  <c r="F28" i="7" s="1"/>
  <c r="G26" i="1"/>
  <c r="S26" i="1" s="1"/>
  <c r="F26" i="1"/>
  <c r="T26" i="1" s="1"/>
  <c r="P25" i="1"/>
  <c r="O25" i="1"/>
  <c r="I25" i="1"/>
  <c r="H25" i="1"/>
  <c r="F27" i="7" s="1"/>
  <c r="G25" i="1"/>
  <c r="F25" i="1"/>
  <c r="D25" i="1"/>
  <c r="C16" i="5" s="1"/>
  <c r="E16" i="5" s="1"/>
  <c r="T24" i="1"/>
  <c r="P24" i="1"/>
  <c r="O24" i="1"/>
  <c r="I24" i="1"/>
  <c r="H24" i="1"/>
  <c r="G24" i="1"/>
  <c r="E26" i="7" s="1"/>
  <c r="F24" i="1"/>
  <c r="L15" i="5" s="1"/>
  <c r="N15" i="5" s="1"/>
  <c r="T23" i="1"/>
  <c r="S23" i="1"/>
  <c r="P23" i="1"/>
  <c r="O23" i="1"/>
  <c r="I23" i="1"/>
  <c r="H23" i="1"/>
  <c r="G23" i="1"/>
  <c r="I14" i="5" s="1"/>
  <c r="K14" i="5" s="1"/>
  <c r="F23" i="1"/>
  <c r="L14" i="5" s="1"/>
  <c r="N14" i="5" s="1"/>
  <c r="T22" i="1"/>
  <c r="S22" i="1"/>
  <c r="P22" i="1"/>
  <c r="O22" i="1"/>
  <c r="I22" i="1"/>
  <c r="H22" i="1"/>
  <c r="F24" i="7" s="1"/>
  <c r="G22" i="1"/>
  <c r="E24" i="7" s="1"/>
  <c r="F22" i="1"/>
  <c r="D24" i="7" s="1"/>
  <c r="P21" i="1"/>
  <c r="O21" i="1"/>
  <c r="I21" i="1"/>
  <c r="H21" i="1"/>
  <c r="F23" i="7" s="1"/>
  <c r="G21" i="1"/>
  <c r="E23" i="7" s="1"/>
  <c r="F21" i="1"/>
  <c r="D23" i="7" s="1"/>
  <c r="P20" i="1"/>
  <c r="O20" i="1"/>
  <c r="I20" i="1"/>
  <c r="H20" i="1"/>
  <c r="F22" i="7" s="1"/>
  <c r="G20" i="1"/>
  <c r="E22" i="7" s="1"/>
  <c r="F20" i="1"/>
  <c r="D22" i="7" s="1"/>
  <c r="P19" i="1"/>
  <c r="O19" i="1"/>
  <c r="I19" i="1"/>
  <c r="H19" i="1"/>
  <c r="F21" i="7" s="1"/>
  <c r="G19" i="1"/>
  <c r="S19" i="1" s="1"/>
  <c r="F19" i="1"/>
  <c r="L10" i="5" s="1"/>
  <c r="N10" i="5" s="1"/>
  <c r="T18" i="1"/>
  <c r="S18" i="1"/>
  <c r="P18" i="1"/>
  <c r="O18" i="1"/>
  <c r="I18" i="1"/>
  <c r="H18" i="1"/>
  <c r="F20" i="7" s="1"/>
  <c r="G18" i="1"/>
  <c r="F18" i="1"/>
  <c r="T17" i="1"/>
  <c r="S17" i="1"/>
  <c r="P17" i="1"/>
  <c r="O17" i="1"/>
  <c r="I17" i="1"/>
  <c r="H17" i="1"/>
  <c r="G17" i="1"/>
  <c r="F17" i="1"/>
  <c r="S16" i="1"/>
  <c r="P16" i="1"/>
  <c r="O16" i="1"/>
  <c r="I16" i="1"/>
  <c r="H16" i="1"/>
  <c r="G16" i="1"/>
  <c r="I7" i="5" s="1"/>
  <c r="K7" i="5" s="1"/>
  <c r="J9" i="1"/>
  <c r="AA8" i="1"/>
  <c r="J8" i="1"/>
  <c r="D42" i="1" s="1"/>
  <c r="AA6" i="1"/>
  <c r="H4" i="3" s="1"/>
  <c r="J6" i="1"/>
  <c r="J7" i="1" s="1"/>
  <c r="AB5" i="1"/>
  <c r="AA5" i="1"/>
  <c r="H3" i="3" s="1"/>
  <c r="L7" i="5" l="1"/>
  <c r="N7" i="5" s="1"/>
  <c r="T16" i="1"/>
  <c r="D18" i="7"/>
  <c r="Q42" i="1"/>
  <c r="C33" i="5"/>
  <c r="E33" i="5" s="1"/>
  <c r="B49" i="7"/>
  <c r="U42" i="1"/>
  <c r="H8" i="3"/>
  <c r="K49" i="7" s="1"/>
  <c r="S44" i="1"/>
  <c r="I35" i="5"/>
  <c r="K35" i="5" s="1"/>
  <c r="E51" i="7"/>
  <c r="J44" i="1"/>
  <c r="K44" i="1" s="1"/>
  <c r="L44" i="1" s="1"/>
  <c r="G51" i="7" s="1"/>
  <c r="S37" i="1"/>
  <c r="I28" i="5"/>
  <c r="K28" i="5" s="1"/>
  <c r="J37" i="1"/>
  <c r="K37" i="1" s="1"/>
  <c r="L37" i="1" s="1"/>
  <c r="G44" i="7" s="1"/>
  <c r="E44" i="7"/>
  <c r="E28" i="1"/>
  <c r="E22" i="1"/>
  <c r="E34" i="1"/>
  <c r="E35" i="1"/>
  <c r="J10" i="1"/>
  <c r="E17" i="1"/>
  <c r="E29" i="1"/>
  <c r="E23" i="1"/>
  <c r="E20" i="1"/>
  <c r="E18" i="1"/>
  <c r="E31" i="1"/>
  <c r="E33" i="1"/>
  <c r="E26" i="1"/>
  <c r="E24" i="1"/>
  <c r="E21" i="1"/>
  <c r="E19" i="1"/>
  <c r="E32" i="1"/>
  <c r="E30" i="1"/>
  <c r="E27" i="1"/>
  <c r="E25" i="1"/>
  <c r="S43" i="1"/>
  <c r="J43" i="1"/>
  <c r="K43" i="1" s="1"/>
  <c r="L43" i="1" s="1"/>
  <c r="G50" i="7" s="1"/>
  <c r="I34" i="5"/>
  <c r="K34" i="5" s="1"/>
  <c r="E50" i="7"/>
  <c r="L45" i="5"/>
  <c r="N45" i="5" s="1"/>
  <c r="D61" i="7"/>
  <c r="I18" i="5"/>
  <c r="K18" i="5" s="1"/>
  <c r="B50" i="7"/>
  <c r="D28" i="7"/>
  <c r="C50" i="7"/>
  <c r="B56" i="7"/>
  <c r="T49" i="1"/>
  <c r="L40" i="5"/>
  <c r="N40" i="5" s="1"/>
  <c r="D56" i="7"/>
  <c r="E28" i="7"/>
  <c r="C23" i="5"/>
  <c r="E23" i="5" s="1"/>
  <c r="C35" i="5"/>
  <c r="E35" i="5" s="1"/>
  <c r="S25" i="1"/>
  <c r="E27" i="7"/>
  <c r="I16" i="5"/>
  <c r="K16" i="5" s="1"/>
  <c r="F28" i="5"/>
  <c r="H28" i="5" s="1"/>
  <c r="R37" i="1"/>
  <c r="L23" i="5"/>
  <c r="N23" i="5" s="1"/>
  <c r="D34" i="7"/>
  <c r="T32" i="1"/>
  <c r="F35" i="5"/>
  <c r="H35" i="5" s="1"/>
  <c r="L27" i="5"/>
  <c r="N27" i="5" s="1"/>
  <c r="L39" i="5"/>
  <c r="N39" i="5" s="1"/>
  <c r="F40" i="5"/>
  <c r="H40" i="5" s="1"/>
  <c r="R49" i="1"/>
  <c r="D51" i="1"/>
  <c r="D45" i="1"/>
  <c r="D39" i="1"/>
  <c r="D33" i="1"/>
  <c r="AA7" i="1" s="1"/>
  <c r="H5" i="3" s="1"/>
  <c r="K48" i="7" s="1"/>
  <c r="D27" i="1"/>
  <c r="D21" i="1"/>
  <c r="D35" i="1"/>
  <c r="D29" i="1"/>
  <c r="D41" i="1"/>
  <c r="D23" i="1"/>
  <c r="D53" i="1"/>
  <c r="D47" i="1"/>
  <c r="D17" i="1"/>
  <c r="D52" i="1"/>
  <c r="D46" i="1"/>
  <c r="G46" i="1" s="1"/>
  <c r="D40" i="1"/>
  <c r="D34" i="1"/>
  <c r="D28" i="1"/>
  <c r="D22" i="1"/>
  <c r="D16" i="1"/>
  <c r="T37" i="1"/>
  <c r="L28" i="5"/>
  <c r="N28" i="5" s="1"/>
  <c r="L35" i="5"/>
  <c r="N35" i="5" s="1"/>
  <c r="T44" i="1"/>
  <c r="D51" i="7"/>
  <c r="G49" i="1"/>
  <c r="J25" i="1"/>
  <c r="K25" i="1" s="1"/>
  <c r="L25" i="1" s="1"/>
  <c r="G27" i="7" s="1"/>
  <c r="I23" i="5"/>
  <c r="K23" i="5" s="1"/>
  <c r="E34" i="7"/>
  <c r="S32" i="1"/>
  <c r="T54" i="1"/>
  <c r="D19" i="1"/>
  <c r="S30" i="1"/>
  <c r="D35" i="7"/>
  <c r="I24" i="5"/>
  <c r="K24" i="5" s="1"/>
  <c r="D29" i="7"/>
  <c r="C51" i="7"/>
  <c r="D24" i="1"/>
  <c r="T30" i="1"/>
  <c r="E29" i="7"/>
  <c r="C57" i="7"/>
  <c r="U37" i="1"/>
  <c r="Q37" i="1"/>
  <c r="D21" i="7"/>
  <c r="T19" i="1"/>
  <c r="L12" i="5"/>
  <c r="N12" i="5" s="1"/>
  <c r="C28" i="5"/>
  <c r="E28" i="5" s="1"/>
  <c r="L36" i="5"/>
  <c r="N36" i="5" s="1"/>
  <c r="D57" i="7"/>
  <c r="Q30" i="1"/>
  <c r="C21" i="5"/>
  <c r="E21" i="5" s="1"/>
  <c r="J30" i="1"/>
  <c r="K30" i="1" s="1"/>
  <c r="L30" i="1" s="1"/>
  <c r="G32" i="7" s="1"/>
  <c r="B32" i="7"/>
  <c r="U49" i="1"/>
  <c r="Q49" i="1"/>
  <c r="D48" i="1"/>
  <c r="R51" i="1"/>
  <c r="D26" i="1"/>
  <c r="D36" i="1"/>
  <c r="R48" i="1"/>
  <c r="C55" i="7"/>
  <c r="D55" i="1"/>
  <c r="U25" i="1"/>
  <c r="Q25" i="1"/>
  <c r="B27" i="7"/>
  <c r="F41" i="5"/>
  <c r="H41" i="5" s="1"/>
  <c r="C45" i="5"/>
  <c r="E45" i="5" s="1"/>
  <c r="Q54" i="1"/>
  <c r="B61" i="7"/>
  <c r="I11" i="5"/>
  <c r="K11" i="5" s="1"/>
  <c r="S20" i="1"/>
  <c r="R54" i="1"/>
  <c r="F45" i="5"/>
  <c r="H45" i="5" s="1"/>
  <c r="C61" i="7"/>
  <c r="L42" i="5"/>
  <c r="N42" i="5" s="1"/>
  <c r="D58" i="7"/>
  <c r="T27" i="1"/>
  <c r="R36" i="1"/>
  <c r="C43" i="7"/>
  <c r="F36" i="5"/>
  <c r="H36" i="5" s="1"/>
  <c r="C52" i="7"/>
  <c r="C62" i="7"/>
  <c r="R55" i="1"/>
  <c r="F46" i="5"/>
  <c r="H46" i="5" s="1"/>
  <c r="C45" i="7"/>
  <c r="R38" i="1"/>
  <c r="I17" i="5"/>
  <c r="K17" i="5" s="1"/>
  <c r="D18" i="1"/>
  <c r="S24" i="1"/>
  <c r="T31" i="1"/>
  <c r="D33" i="7"/>
  <c r="T38" i="1"/>
  <c r="D45" i="7"/>
  <c r="D38" i="1"/>
  <c r="T55" i="1"/>
  <c r="D62" i="7"/>
  <c r="L17" i="5"/>
  <c r="N17" i="5" s="1"/>
  <c r="L41" i="5"/>
  <c r="N41" i="5" s="1"/>
  <c r="U43" i="1"/>
  <c r="Q43" i="1"/>
  <c r="C34" i="5"/>
  <c r="E34" i="5" s="1"/>
  <c r="T25" i="1"/>
  <c r="L16" i="5"/>
  <c r="N16" i="5" s="1"/>
  <c r="D27" i="7"/>
  <c r="Q32" i="1"/>
  <c r="B34" i="7"/>
  <c r="U32" i="1"/>
  <c r="Q44" i="1"/>
  <c r="U44" i="1"/>
  <c r="B51" i="7"/>
  <c r="L11" i="5"/>
  <c r="N11" i="5" s="1"/>
  <c r="T20" i="1"/>
  <c r="D49" i="7"/>
  <c r="L33" i="5"/>
  <c r="N33" i="5" s="1"/>
  <c r="D46" i="7"/>
  <c r="L30" i="5"/>
  <c r="N30" i="5" s="1"/>
  <c r="R39" i="1"/>
  <c r="D50" i="1"/>
  <c r="T51" i="1"/>
  <c r="D31" i="1"/>
  <c r="T39" i="1"/>
  <c r="L9" i="5"/>
  <c r="N9" i="5" s="1"/>
  <c r="D20" i="7"/>
  <c r="I9" i="5"/>
  <c r="K9" i="5" s="1"/>
  <c r="E20" i="7"/>
  <c r="D20" i="1"/>
  <c r="S21" i="1"/>
  <c r="T36" i="1"/>
  <c r="F34" i="5"/>
  <c r="H34" i="5" s="1"/>
  <c r="D32" i="7"/>
  <c r="AB6" i="1"/>
  <c r="R42" i="1"/>
  <c r="C49" i="7"/>
  <c r="F33" i="5"/>
  <c r="H33" i="5" s="1"/>
  <c r="T48" i="1"/>
  <c r="T21" i="1"/>
  <c r="E32" i="7"/>
  <c r="C12" i="4"/>
  <c r="C54" i="7"/>
  <c r="E30" i="7"/>
  <c r="D37" i="7"/>
  <c r="J11" i="1"/>
  <c r="K11" i="1" s="1"/>
  <c r="G41" i="1"/>
  <c r="G47" i="1"/>
  <c r="G53" i="1"/>
  <c r="B11" i="7"/>
  <c r="F43" i="5"/>
  <c r="H43" i="5" s="1"/>
  <c r="G36" i="1"/>
  <c r="G42" i="1"/>
  <c r="G48" i="1"/>
  <c r="G54" i="1"/>
  <c r="S46" i="1" l="1"/>
  <c r="I37" i="5"/>
  <c r="K37" i="5" s="1"/>
  <c r="E53" i="7"/>
  <c r="J46" i="1"/>
  <c r="K46" i="1" s="1"/>
  <c r="L46" i="1" s="1"/>
  <c r="G53" i="7" s="1"/>
  <c r="B12" i="7"/>
  <c r="K52" i="7"/>
  <c r="C13" i="4"/>
  <c r="V43" i="1"/>
  <c r="W43" i="1"/>
  <c r="C31" i="7"/>
  <c r="R29" i="1"/>
  <c r="F20" i="5"/>
  <c r="H20" i="5" s="1"/>
  <c r="C37" i="7"/>
  <c r="F26" i="5"/>
  <c r="H26" i="5" s="1"/>
  <c r="R35" i="1"/>
  <c r="C24" i="7"/>
  <c r="F13" i="5"/>
  <c r="H13" i="5" s="1"/>
  <c r="R22" i="1"/>
  <c r="F14" i="5"/>
  <c r="H14" i="5" s="1"/>
  <c r="C25" i="7"/>
  <c r="R23" i="1"/>
  <c r="F19" i="5"/>
  <c r="H19" i="5" s="1"/>
  <c r="C30" i="7"/>
  <c r="R28" i="1"/>
  <c r="I40" i="5"/>
  <c r="K40" i="5" s="1"/>
  <c r="S49" i="1"/>
  <c r="J49" i="1"/>
  <c r="K49" i="1" s="1"/>
  <c r="L49" i="1" s="1"/>
  <c r="G56" i="7" s="1"/>
  <c r="E56" i="7"/>
  <c r="U45" i="1"/>
  <c r="C36" i="5"/>
  <c r="E36" i="5" s="1"/>
  <c r="B52" i="7"/>
  <c r="G45" i="1"/>
  <c r="Q45" i="1"/>
  <c r="F7" i="5"/>
  <c r="H7" i="5" s="1"/>
  <c r="R16" i="1"/>
  <c r="C18" i="7"/>
  <c r="U31" i="1"/>
  <c r="Q31" i="1"/>
  <c r="J31" i="1"/>
  <c r="K31" i="1" s="1"/>
  <c r="L31" i="1" s="1"/>
  <c r="G33" i="7" s="1"/>
  <c r="C22" i="5"/>
  <c r="E22" i="5" s="1"/>
  <c r="B33" i="7"/>
  <c r="J36" i="1"/>
  <c r="S36" i="1"/>
  <c r="E43" i="7"/>
  <c r="I27" i="5"/>
  <c r="K27" i="5" s="1"/>
  <c r="X43" i="1"/>
  <c r="Y43" i="1" s="1"/>
  <c r="R34" i="1"/>
  <c r="F25" i="5"/>
  <c r="H25" i="5" s="1"/>
  <c r="C36" i="7"/>
  <c r="R20" i="1"/>
  <c r="C22" i="7"/>
  <c r="F11" i="5"/>
  <c r="H11" i="5" s="1"/>
  <c r="J41" i="1"/>
  <c r="K41" i="1" s="1"/>
  <c r="L41" i="1" s="1"/>
  <c r="G48" i="7" s="1"/>
  <c r="E48" i="7"/>
  <c r="S41" i="1"/>
  <c r="I32" i="5"/>
  <c r="K32" i="5" s="1"/>
  <c r="B24" i="7"/>
  <c r="C13" i="5"/>
  <c r="E13" i="5" s="1"/>
  <c r="U22" i="1"/>
  <c r="Q22" i="1"/>
  <c r="J22" i="1"/>
  <c r="K22" i="1" s="1"/>
  <c r="L22" i="1" s="1"/>
  <c r="G24" i="7" s="1"/>
  <c r="C19" i="5"/>
  <c r="E19" i="5" s="1"/>
  <c r="J28" i="1"/>
  <c r="K28" i="1" s="1"/>
  <c r="L28" i="1" s="1"/>
  <c r="G30" i="7" s="1"/>
  <c r="B30" i="7"/>
  <c r="U28" i="1"/>
  <c r="Q28" i="1"/>
  <c r="V37" i="1"/>
  <c r="X37" i="1" s="1"/>
  <c r="Y37" i="1" s="1"/>
  <c r="W37" i="1"/>
  <c r="W44" i="1"/>
  <c r="V44" i="1"/>
  <c r="X44" i="1" s="1"/>
  <c r="Y44" i="1" s="1"/>
  <c r="C38" i="5"/>
  <c r="E38" i="5" s="1"/>
  <c r="B54" i="7"/>
  <c r="U47" i="1"/>
  <c r="Q47" i="1"/>
  <c r="F18" i="5"/>
  <c r="H18" i="5" s="1"/>
  <c r="R27" i="1"/>
  <c r="C29" i="7"/>
  <c r="Q24" i="1"/>
  <c r="J24" i="1"/>
  <c r="K24" i="1" s="1"/>
  <c r="L24" i="1" s="1"/>
  <c r="G26" i="7" s="1"/>
  <c r="U24" i="1"/>
  <c r="B26" i="7"/>
  <c r="C15" i="5"/>
  <c r="E15" i="5" s="1"/>
  <c r="B59" i="7"/>
  <c r="C43" i="5"/>
  <c r="E43" i="5" s="1"/>
  <c r="Q52" i="1"/>
  <c r="U52" i="1"/>
  <c r="R24" i="1"/>
  <c r="C26" i="7"/>
  <c r="F15" i="5"/>
  <c r="H15" i="5" s="1"/>
  <c r="C19" i="7"/>
  <c r="F8" i="5"/>
  <c r="H8" i="5" s="1"/>
  <c r="R17" i="1"/>
  <c r="J47" i="1"/>
  <c r="K47" i="1" s="1"/>
  <c r="L47" i="1" s="1"/>
  <c r="G54" i="7" s="1"/>
  <c r="I38" i="5"/>
  <c r="K38" i="5" s="1"/>
  <c r="E54" i="7"/>
  <c r="S47" i="1"/>
  <c r="V25" i="1"/>
  <c r="W25" i="1"/>
  <c r="C31" i="5"/>
  <c r="E31" i="5" s="1"/>
  <c r="B47" i="7"/>
  <c r="Q40" i="1"/>
  <c r="U40" i="1"/>
  <c r="R32" i="1"/>
  <c r="C34" i="7"/>
  <c r="F23" i="5"/>
  <c r="H23" i="5" s="1"/>
  <c r="C21" i="7"/>
  <c r="R19" i="1"/>
  <c r="F10" i="5"/>
  <c r="H10" i="5" s="1"/>
  <c r="G40" i="1"/>
  <c r="X42" i="1"/>
  <c r="Y42" i="1" s="1"/>
  <c r="C29" i="5"/>
  <c r="E29" i="5" s="1"/>
  <c r="U38" i="1"/>
  <c r="B45" i="7"/>
  <c r="G38" i="1"/>
  <c r="Q38" i="1"/>
  <c r="Q34" i="1"/>
  <c r="U34" i="1"/>
  <c r="C25" i="5"/>
  <c r="E25" i="5" s="1"/>
  <c r="B36" i="7"/>
  <c r="J34" i="1"/>
  <c r="K34" i="1" s="1"/>
  <c r="L34" i="1" s="1"/>
  <c r="G36" i="7" s="1"/>
  <c r="J17" i="1"/>
  <c r="K17" i="1" s="1"/>
  <c r="L17" i="1" s="1"/>
  <c r="G19" i="7" s="1"/>
  <c r="B19" i="7"/>
  <c r="U17" i="1"/>
  <c r="C8" i="5"/>
  <c r="E8" i="5" s="1"/>
  <c r="Q17" i="1"/>
  <c r="B60" i="7"/>
  <c r="Q53" i="1"/>
  <c r="U53" i="1"/>
  <c r="C44" i="5"/>
  <c r="E44" i="5" s="1"/>
  <c r="D5" i="3"/>
  <c r="K43" i="7" s="1"/>
  <c r="J23" i="1"/>
  <c r="K23" i="1" s="1"/>
  <c r="L23" i="1" s="1"/>
  <c r="G25" i="7" s="1"/>
  <c r="C14" i="5"/>
  <c r="E14" i="5" s="1"/>
  <c r="Q23" i="1"/>
  <c r="B25" i="7"/>
  <c r="U23" i="1"/>
  <c r="Q48" i="1"/>
  <c r="B55" i="7"/>
  <c r="U48" i="1"/>
  <c r="C39" i="5"/>
  <c r="E39" i="5" s="1"/>
  <c r="U19" i="1"/>
  <c r="B21" i="7"/>
  <c r="D4" i="3"/>
  <c r="K42" i="7" s="1"/>
  <c r="Q19" i="1"/>
  <c r="J19" i="1"/>
  <c r="K19" i="1" s="1"/>
  <c r="L19" i="1" s="1"/>
  <c r="G21" i="7" s="1"/>
  <c r="C10" i="5"/>
  <c r="E10" i="5" s="1"/>
  <c r="U41" i="1"/>
  <c r="Q41" i="1"/>
  <c r="B48" i="7"/>
  <c r="C32" i="5"/>
  <c r="E32" i="5" s="1"/>
  <c r="F24" i="5"/>
  <c r="H24" i="5" s="1"/>
  <c r="C35" i="7"/>
  <c r="R33" i="1"/>
  <c r="U39" i="1"/>
  <c r="B46" i="7"/>
  <c r="C30" i="5"/>
  <c r="E30" i="5" s="1"/>
  <c r="Q39" i="1"/>
  <c r="G39" i="1"/>
  <c r="W54" i="1"/>
  <c r="V54" i="1"/>
  <c r="X54" i="1" s="1"/>
  <c r="Y54" i="1" s="1"/>
  <c r="C7" i="5"/>
  <c r="E7" i="5" s="1"/>
  <c r="U16" i="1"/>
  <c r="Q16" i="1"/>
  <c r="J16" i="1"/>
  <c r="B18" i="7"/>
  <c r="R25" i="1"/>
  <c r="C27" i="7"/>
  <c r="F16" i="5"/>
  <c r="H16" i="5" s="1"/>
  <c r="U46" i="1"/>
  <c r="B53" i="7"/>
  <c r="C37" i="5"/>
  <c r="E37" i="5" s="1"/>
  <c r="Q46" i="1"/>
  <c r="B28" i="7"/>
  <c r="C17" i="5"/>
  <c r="E17" i="5" s="1"/>
  <c r="U26" i="1"/>
  <c r="J26" i="1"/>
  <c r="K26" i="1" s="1"/>
  <c r="L26" i="1" s="1"/>
  <c r="G28" i="7" s="1"/>
  <c r="Q26" i="1"/>
  <c r="W32" i="1"/>
  <c r="V32" i="1"/>
  <c r="X32" i="1" s="1"/>
  <c r="Y32" i="1" s="1"/>
  <c r="V49" i="1"/>
  <c r="X49" i="1" s="1"/>
  <c r="Y49" i="1" s="1"/>
  <c r="W49" i="1"/>
  <c r="J29" i="1"/>
  <c r="K29" i="1" s="1"/>
  <c r="L29" i="1" s="1"/>
  <c r="G31" i="7" s="1"/>
  <c r="B31" i="7"/>
  <c r="U29" i="1"/>
  <c r="Q29" i="1"/>
  <c r="C20" i="5"/>
  <c r="E20" i="5" s="1"/>
  <c r="R31" i="1"/>
  <c r="F22" i="5"/>
  <c r="H22" i="5" s="1"/>
  <c r="C33" i="7"/>
  <c r="C12" i="5"/>
  <c r="E12" i="5" s="1"/>
  <c r="B23" i="7"/>
  <c r="Q21" i="1"/>
  <c r="J21" i="1"/>
  <c r="K21" i="1" s="1"/>
  <c r="L21" i="1" s="1"/>
  <c r="G23" i="7" s="1"/>
  <c r="U21" i="1"/>
  <c r="C18" i="5"/>
  <c r="E18" i="5" s="1"/>
  <c r="U27" i="1"/>
  <c r="D6" i="3"/>
  <c r="K44" i="7" s="1"/>
  <c r="Q27" i="1"/>
  <c r="J27" i="1"/>
  <c r="K27" i="1" s="1"/>
  <c r="L27" i="1" s="1"/>
  <c r="G29" i="7" s="1"/>
  <c r="B29" i="7"/>
  <c r="B35" i="7"/>
  <c r="C24" i="5"/>
  <c r="E24" i="5" s="1"/>
  <c r="J33" i="1"/>
  <c r="K33" i="1" s="1"/>
  <c r="L33" i="1" s="1"/>
  <c r="G35" i="7" s="1"/>
  <c r="U33" i="1"/>
  <c r="Q33" i="1"/>
  <c r="J53" i="1"/>
  <c r="K53" i="1" s="1"/>
  <c r="L53" i="1" s="1"/>
  <c r="G60" i="7" s="1"/>
  <c r="E60" i="7"/>
  <c r="S53" i="1"/>
  <c r="I44" i="5"/>
  <c r="K44" i="5" s="1"/>
  <c r="W30" i="1"/>
  <c r="V30" i="1"/>
  <c r="X30" i="1" s="1"/>
  <c r="Y30" i="1" s="1"/>
  <c r="U51" i="1"/>
  <c r="B58" i="7"/>
  <c r="C42" i="5"/>
  <c r="E42" i="5" s="1"/>
  <c r="G51" i="1"/>
  <c r="Q51" i="1"/>
  <c r="C41" i="5"/>
  <c r="E41" i="5" s="1"/>
  <c r="Q50" i="1"/>
  <c r="U50" i="1"/>
  <c r="G50" i="1"/>
  <c r="B57" i="7"/>
  <c r="Q18" i="1"/>
  <c r="B20" i="7"/>
  <c r="C9" i="5"/>
  <c r="E9" i="5" s="1"/>
  <c r="J18" i="1"/>
  <c r="K18" i="1" s="1"/>
  <c r="L18" i="1" s="1"/>
  <c r="G20" i="7" s="1"/>
  <c r="U18" i="1"/>
  <c r="X25" i="1"/>
  <c r="Y25" i="1" s="1"/>
  <c r="U55" i="1"/>
  <c r="B62" i="7"/>
  <c r="Q55" i="1"/>
  <c r="C46" i="5"/>
  <c r="E46" i="5" s="1"/>
  <c r="G55" i="1"/>
  <c r="R30" i="1"/>
  <c r="F21" i="5"/>
  <c r="H21" i="5" s="1"/>
  <c r="C32" i="7"/>
  <c r="Q36" i="1"/>
  <c r="B43" i="7"/>
  <c r="U36" i="1"/>
  <c r="C27" i="5"/>
  <c r="E27" i="5" s="1"/>
  <c r="F12" i="5"/>
  <c r="H12" i="5" s="1"/>
  <c r="R21" i="1"/>
  <c r="C23" i="7"/>
  <c r="C28" i="7"/>
  <c r="R26" i="1"/>
  <c r="F17" i="5"/>
  <c r="H17" i="5" s="1"/>
  <c r="I45" i="5"/>
  <c r="K45" i="5" s="1"/>
  <c r="J54" i="1"/>
  <c r="K54" i="1" s="1"/>
  <c r="L54" i="1" s="1"/>
  <c r="G61" i="7" s="1"/>
  <c r="E61" i="7"/>
  <c r="S54" i="1"/>
  <c r="E55" i="7"/>
  <c r="J48" i="1"/>
  <c r="K48" i="1" s="1"/>
  <c r="L48" i="1" s="1"/>
  <c r="G55" i="7" s="1"/>
  <c r="S48" i="1"/>
  <c r="I39" i="5"/>
  <c r="K39" i="5" s="1"/>
  <c r="U20" i="1"/>
  <c r="J20" i="1"/>
  <c r="K20" i="1" s="1"/>
  <c r="L20" i="1" s="1"/>
  <c r="G22" i="7" s="1"/>
  <c r="Q20" i="1"/>
  <c r="B22" i="7"/>
  <c r="C11" i="5"/>
  <c r="E11" i="5" s="1"/>
  <c r="E49" i="7"/>
  <c r="I33" i="5"/>
  <c r="K33" i="5" s="1"/>
  <c r="J42" i="1"/>
  <c r="K42" i="1" s="1"/>
  <c r="L42" i="1" s="1"/>
  <c r="G49" i="7" s="1"/>
  <c r="S42" i="1"/>
  <c r="G52" i="1"/>
  <c r="J35" i="1"/>
  <c r="K35" i="1" s="1"/>
  <c r="L35" i="1" s="1"/>
  <c r="G37" i="7" s="1"/>
  <c r="C26" i="5"/>
  <c r="E26" i="5" s="1"/>
  <c r="B37" i="7"/>
  <c r="D7" i="3"/>
  <c r="K45" i="7" s="1"/>
  <c r="Q35" i="1"/>
  <c r="U35" i="1"/>
  <c r="D9" i="3"/>
  <c r="K46" i="7" s="1"/>
  <c r="R18" i="1"/>
  <c r="F9" i="5"/>
  <c r="H9" i="5" s="1"/>
  <c r="C20" i="7"/>
  <c r="W42" i="1"/>
  <c r="V42" i="1"/>
  <c r="W36" i="1" l="1"/>
  <c r="V36" i="1"/>
  <c r="K16" i="1"/>
  <c r="C11" i="2"/>
  <c r="W34" i="1"/>
  <c r="V34" i="1"/>
  <c r="E45" i="7"/>
  <c r="S38" i="1"/>
  <c r="J38" i="1"/>
  <c r="K38" i="1" s="1"/>
  <c r="L38" i="1" s="1"/>
  <c r="G45" i="7" s="1"/>
  <c r="I29" i="5"/>
  <c r="K29" i="5" s="1"/>
  <c r="W33" i="1"/>
  <c r="V33" i="1"/>
  <c r="X33" i="1" s="1"/>
  <c r="Y33" i="1" s="1"/>
  <c r="W39" i="1"/>
  <c r="V39" i="1"/>
  <c r="X39" i="1" s="1"/>
  <c r="Y39" i="1" s="1"/>
  <c r="I31" i="5"/>
  <c r="K31" i="5" s="1"/>
  <c r="S40" i="1"/>
  <c r="J40" i="1"/>
  <c r="K40" i="1" s="1"/>
  <c r="L40" i="1" s="1"/>
  <c r="G47" i="7" s="1"/>
  <c r="E47" i="7"/>
  <c r="W52" i="1"/>
  <c r="V52" i="1"/>
  <c r="X52" i="1" s="1"/>
  <c r="Y52" i="1" s="1"/>
  <c r="V31" i="1"/>
  <c r="X31" i="1" s="1"/>
  <c r="Y31" i="1" s="1"/>
  <c r="W31" i="1"/>
  <c r="S39" i="1"/>
  <c r="E46" i="7"/>
  <c r="J39" i="1"/>
  <c r="K39" i="1" s="1"/>
  <c r="L39" i="1" s="1"/>
  <c r="G46" i="7" s="1"/>
  <c r="I30" i="5"/>
  <c r="K30" i="5" s="1"/>
  <c r="X38" i="1"/>
  <c r="Y38" i="1" s="1"/>
  <c r="V55" i="1"/>
  <c r="W55" i="1"/>
  <c r="W53" i="1"/>
  <c r="V53" i="1"/>
  <c r="X53" i="1" s="1"/>
  <c r="Y53" i="1" s="1"/>
  <c r="X26" i="1"/>
  <c r="Y26" i="1" s="1"/>
  <c r="X24" i="1"/>
  <c r="Y24" i="1" s="1"/>
  <c r="W45" i="1"/>
  <c r="V45" i="1"/>
  <c r="X36" i="1"/>
  <c r="Y36" i="1" s="1"/>
  <c r="E52" i="7"/>
  <c r="J45" i="1"/>
  <c r="K45" i="1" s="1"/>
  <c r="L45" i="1" s="1"/>
  <c r="G52" i="7" s="1"/>
  <c r="S45" i="1"/>
  <c r="I36" i="5"/>
  <c r="K36" i="5" s="1"/>
  <c r="X19" i="1"/>
  <c r="Y19" i="1" s="1"/>
  <c r="W20" i="1"/>
  <c r="V20" i="1"/>
  <c r="X20" i="1" s="1"/>
  <c r="Y20" i="1" s="1"/>
  <c r="W26" i="1"/>
  <c r="V26" i="1"/>
  <c r="X35" i="1"/>
  <c r="Y35" i="1" s="1"/>
  <c r="W17" i="1"/>
  <c r="V17" i="1"/>
  <c r="W40" i="1"/>
  <c r="V40" i="1"/>
  <c r="X40" i="1" s="1"/>
  <c r="Y40" i="1" s="1"/>
  <c r="V24" i="1"/>
  <c r="W24" i="1"/>
  <c r="E62" i="7"/>
  <c r="S55" i="1"/>
  <c r="I46" i="5"/>
  <c r="K46" i="5" s="1"/>
  <c r="J55" i="1"/>
  <c r="K55" i="1" s="1"/>
  <c r="L55" i="1" s="1"/>
  <c r="G62" i="7" s="1"/>
  <c r="X28" i="1"/>
  <c r="Y28" i="1" s="1"/>
  <c r="W23" i="1"/>
  <c r="V23" i="1"/>
  <c r="X23" i="1" s="1"/>
  <c r="Y23" i="1" s="1"/>
  <c r="V22" i="1"/>
  <c r="X22" i="1" s="1"/>
  <c r="Y22" i="1" s="1"/>
  <c r="W22" i="1"/>
  <c r="V27" i="1"/>
  <c r="X27" i="1" s="1"/>
  <c r="Y27" i="1" s="1"/>
  <c r="W27" i="1"/>
  <c r="W35" i="1"/>
  <c r="V35" i="1"/>
  <c r="S50" i="1"/>
  <c r="J50" i="1"/>
  <c r="K50" i="1" s="1"/>
  <c r="L50" i="1" s="1"/>
  <c r="G57" i="7" s="1"/>
  <c r="I41" i="5"/>
  <c r="K41" i="5" s="1"/>
  <c r="E57" i="7"/>
  <c r="W46" i="1"/>
  <c r="V46" i="1"/>
  <c r="W41" i="1"/>
  <c r="V41" i="1"/>
  <c r="X34" i="1"/>
  <c r="Y34" i="1" s="1"/>
  <c r="V48" i="1"/>
  <c r="X48" i="1" s="1"/>
  <c r="Y48" i="1" s="1"/>
  <c r="W48" i="1"/>
  <c r="X41" i="1"/>
  <c r="Y41" i="1" s="1"/>
  <c r="X17" i="1"/>
  <c r="Y17" i="1" s="1"/>
  <c r="X45" i="1"/>
  <c r="Y45" i="1" s="1"/>
  <c r="W29" i="1"/>
  <c r="V29" i="1"/>
  <c r="X29" i="1" s="1"/>
  <c r="Y29" i="1" s="1"/>
  <c r="X55" i="1"/>
  <c r="Y55" i="1" s="1"/>
  <c r="V18" i="1"/>
  <c r="X18" i="1" s="1"/>
  <c r="Y18" i="1" s="1"/>
  <c r="W18" i="1"/>
  <c r="W38" i="1"/>
  <c r="V38" i="1"/>
  <c r="V28" i="1"/>
  <c r="W28" i="1"/>
  <c r="W47" i="1"/>
  <c r="V47" i="1"/>
  <c r="W50" i="1"/>
  <c r="V50" i="1"/>
  <c r="W51" i="1"/>
  <c r="V51" i="1"/>
  <c r="X51" i="1" s="1"/>
  <c r="Y51" i="1" s="1"/>
  <c r="X47" i="1"/>
  <c r="Y47" i="1" s="1"/>
  <c r="V16" i="1"/>
  <c r="W16" i="1"/>
  <c r="X16" i="1"/>
  <c r="Y16" i="1" s="1"/>
  <c r="K36" i="1"/>
  <c r="X50" i="1"/>
  <c r="Y50" i="1" s="1"/>
  <c r="X46" i="1"/>
  <c r="Y46" i="1" s="1"/>
  <c r="I43" i="5"/>
  <c r="K43" i="5" s="1"/>
  <c r="E59" i="7"/>
  <c r="J52" i="1"/>
  <c r="K52" i="1" s="1"/>
  <c r="L52" i="1" s="1"/>
  <c r="G59" i="7" s="1"/>
  <c r="S52" i="1"/>
  <c r="W21" i="1"/>
  <c r="V21" i="1"/>
  <c r="X21" i="1" s="1"/>
  <c r="Y21" i="1" s="1"/>
  <c r="V19" i="1"/>
  <c r="W19" i="1"/>
  <c r="E58" i="7"/>
  <c r="S51" i="1"/>
  <c r="J51" i="1"/>
  <c r="K51" i="1" s="1"/>
  <c r="L51" i="1" s="1"/>
  <c r="G58" i="7" s="1"/>
  <c r="I42" i="5"/>
  <c r="K42" i="5" s="1"/>
  <c r="L36" i="1" l="1"/>
  <c r="C23" i="2"/>
  <c r="C22" i="2"/>
  <c r="K8" i="7" s="1"/>
  <c r="C14" i="4"/>
  <c r="K5" i="7"/>
  <c r="L16" i="1"/>
  <c r="C13" i="2"/>
  <c r="C12" i="2"/>
  <c r="K6" i="7" s="1"/>
  <c r="C21" i="2"/>
  <c r="C15" i="4" l="1"/>
  <c r="K7" i="7"/>
  <c r="C34" i="2"/>
  <c r="G18" i="7"/>
  <c r="C33" i="2"/>
  <c r="C32" i="2"/>
  <c r="C38" i="2"/>
  <c r="C37" i="2"/>
  <c r="G43" i="7"/>
  <c r="C36" i="2"/>
  <c r="C40" i="2" l="1"/>
  <c r="K9" i="7" l="1"/>
  <c r="C16" i="4"/>
</calcChain>
</file>

<file path=xl/sharedStrings.xml><?xml version="1.0" encoding="utf-8"?>
<sst xmlns="http://schemas.openxmlformats.org/spreadsheetml/2006/main" count="212" uniqueCount="163">
  <si>
    <t>CONSTANT COMPOSITION EXPANSION (CCE) — PVT LAB CALCULATION SHEET v3 Final</t>
  </si>
  <si>
    <t>LAB MEASUREMENT INPUTS</t>
  </si>
  <si>
    <t>AUTO-CALCULATED PARAMETERS</t>
  </si>
  <si>
    <t>Macro-Ready Controls (1st Tab)</t>
  </si>
  <si>
    <t>Reservoir Pressure (psig)</t>
  </si>
  <si>
    <t>← INPUT</t>
  </si>
  <si>
    <t>Error Limit (%)</t>
  </si>
  <si>
    <t>Start Pressure (psig)</t>
  </si>
  <si>
    <t>Temperature (°F):</t>
  </si>
  <si>
    <t>Volume at Working Pressure (cc)</t>
  </si>
  <si>
    <t>i value</t>
  </si>
  <si>
    <t>End Pressure (psig)</t>
  </si>
  <si>
    <t>Working Pressure (psig):</t>
  </si>
  <si>
    <t>Sample Mass (g)</t>
  </si>
  <si>
    <t>j value</t>
  </si>
  <si>
    <t>Dynamic Mean Comp (×10⁻⁶ psi⁻¹)</t>
  </si>
  <si>
    <t>Measured HPHT Density (g/cm³):</t>
  </si>
  <si>
    <t>V_sat at Bubble Point (cc)</t>
  </si>
  <si>
    <t>k value</t>
  </si>
  <si>
    <t>Visual Bubble Point (psig):</t>
  </si>
  <si>
    <t>Psat from Data (psig)</t>
  </si>
  <si>
    <t>Bubble Point Step #:</t>
  </si>
  <si>
    <t>Density at Psat (g/cm³)</t>
  </si>
  <si>
    <t>Macro Button Area</t>
  </si>
  <si>
    <t>OPEN-SAFE version: macro-ready layout only. Real VBA is not embedded. Use this workbook to finalize structure and later attach VBA in Excel if needed.</t>
  </si>
  <si>
    <t>Pb Check |Visual−Data|</t>
  </si>
  <si>
    <t>CCE DATA TABLE</t>
  </si>
  <si>
    <t>PVTsim Comparison &amp; Final Accepted Values</t>
  </si>
  <si>
    <t>Graphical representation and tuning</t>
  </si>
  <si>
    <t>Step</t>
  </si>
  <si>
    <t>Pressure
(psig)</t>
  </si>
  <si>
    <t>Volume
(cc)</t>
  </si>
  <si>
    <t>Relative
Volume</t>
  </si>
  <si>
    <t>Density
(g/cm³)</t>
  </si>
  <si>
    <t>Inst. Compressibility
(×10⁻⁶ psi⁻¹)</t>
  </si>
  <si>
    <t>Y-Function</t>
  </si>
  <si>
    <t>Phase</t>
  </si>
  <si>
    <t>Fitted
Value</t>
  </si>
  <si>
    <t>Residual</t>
  </si>
  <si>
    <t>Deviation
(%)</t>
  </si>
  <si>
    <t>QC Flag</t>
  </si>
  <si>
    <t>Pressure</t>
  </si>
  <si>
    <t>PVTsim RelVol</t>
  </si>
  <si>
    <t>PVTsim Density</t>
  </si>
  <si>
    <t>PVTsim Y</t>
  </si>
  <si>
    <t>PVTsim Inst Comp</t>
  </si>
  <si>
    <t>Measured RelVol</t>
  </si>
  <si>
    <t>Upper Limit</t>
  </si>
  <si>
    <t>Lower Limit</t>
  </si>
  <si>
    <t>Out of Band?</t>
  </si>
  <si>
    <t>Suggested ΔV (i/j/k)</t>
  </si>
  <si>
    <t>Macro button to adjust the values using ijk Value</t>
  </si>
  <si>
    <t>CCE QC PROTOCOL &amp; DATA VALIDATION</t>
  </si>
  <si>
    <t>A. SINGLE-PHASE RELATIVE VOLUME FIT</t>
  </si>
  <si>
    <t>Fit Type:</t>
  </si>
  <si>
    <t>3rd Order Polynomial</t>
  </si>
  <si>
    <t>Equation:</t>
  </si>
  <si>
    <t>RelVol = a₀ + a₁×P + a₂×P² + a₃×P³</t>
  </si>
  <si>
    <t>a₀ (Constant):</t>
  </si>
  <si>
    <t>a₁ (P coeff):</t>
  </si>
  <si>
    <t>a₂ (P² coeff):</t>
  </si>
  <si>
    <t>a₃ (P³ coeff):</t>
  </si>
  <si>
    <t>R-squared:</t>
  </si>
  <si>
    <t>Max Deviation (%):</t>
  </si>
  <si>
    <t>Mean Deviation (%):</t>
  </si>
  <si>
    <t>B. TWO-PHASE Y-FUNCTION FIT</t>
  </si>
  <si>
    <t>2nd Order Polynomial</t>
  </si>
  <si>
    <t>Y = b₀ + b₁×P + b₂×P²</t>
  </si>
  <si>
    <t>b₀ (Constant):</t>
  </si>
  <si>
    <t>b₁ (P coeff):</t>
  </si>
  <si>
    <t>b₂ (P² coeff):</t>
  </si>
  <si>
    <t>C. QC THRESHOLDS</t>
  </si>
  <si>
    <t>SP PASS threshold (%)</t>
  </si>
  <si>
    <t>SP WARN threshold (%)</t>
  </si>
  <si>
    <t>TP PASS threshold (%)</t>
  </si>
  <si>
    <t>TP WARN threshold (%)</t>
  </si>
  <si>
    <t>D. QC SUMMARY DASHBOARD</t>
  </si>
  <si>
    <t>SP Points PASS:</t>
  </si>
  <si>
    <t>SP Points WARN:</t>
  </si>
  <si>
    <t>SP Points FAIL:</t>
  </si>
  <si>
    <t>TP Points PASS:</t>
  </si>
  <si>
    <t>TP Points WARN:</t>
  </si>
  <si>
    <t>TP Points FAIL:</t>
  </si>
  <si>
    <t>OVERALL QC STATUS:</t>
  </si>
  <si>
    <t>Note</t>
  </si>
  <si>
    <t>These yellow coefficients are optional manual tuning inputs. Normal routine use does not require changing them unless refining the fit or comparing against simulation.</t>
  </si>
  <si>
    <t>MEAN SINGLE-PHASE COMPRESSIBILITIES</t>
  </si>
  <si>
    <t>Dynamic Mean Compressibility (Any Selected Range)</t>
  </si>
  <si>
    <t>Range</t>
  </si>
  <si>
    <t>P_initial
(psig)</t>
  </si>
  <si>
    <t>P_final
(psig)</t>
  </si>
  <si>
    <t>Mean Comp
(×10⁻⁶ psi⁻¹)</t>
  </si>
  <si>
    <t>Unit</t>
  </si>
  <si>
    <t>Range 1</t>
  </si>
  <si>
    <t>×10⁻⁶ psi⁻¹</t>
  </si>
  <si>
    <t>Range 2</t>
  </si>
  <si>
    <t>Dynamic Mean Comp</t>
  </si>
  <si>
    <t>Range 3</t>
  </si>
  <si>
    <t>Range 4</t>
  </si>
  <si>
    <t>Mean Comp from Reservoir Pressure to Psat</t>
  </si>
  <si>
    <t>Average (3939–1156 psig):</t>
  </si>
  <si>
    <t>CCE EXPERIMENT — SUMMARY</t>
  </si>
  <si>
    <t>SAMPLE INFO</t>
  </si>
  <si>
    <t>Client:</t>
  </si>
  <si>
    <t>ADNOC Onshore</t>
  </si>
  <si>
    <t>Well:</t>
  </si>
  <si>
    <t>SA 372 (Kharaib-2)</t>
  </si>
  <si>
    <t>Sample:</t>
  </si>
  <si>
    <t>#3, Chamber RF1168636</t>
  </si>
  <si>
    <t>Depth:</t>
  </si>
  <si>
    <t>9105.00 MD (ft.)</t>
  </si>
  <si>
    <t>Temperature:</t>
  </si>
  <si>
    <t>KEY RESULTS (linked)</t>
  </si>
  <si>
    <t>Psat (psig):</t>
  </si>
  <si>
    <t>Density at Psat:</t>
  </si>
  <si>
    <t>SP Fit R²</t>
  </si>
  <si>
    <t>TP Fit R²</t>
  </si>
  <si>
    <t>Overall QC</t>
  </si>
  <si>
    <t>Open-safe corrected file</t>
  </si>
  <si>
    <t>Use this version</t>
  </si>
  <si>
    <t>Fluid Type</t>
  </si>
  <si>
    <t>Black Oil</t>
  </si>
  <si>
    <t>ΔRelVol %</t>
  </si>
  <si>
    <t>Measured Density</t>
  </si>
  <si>
    <t>ΔDensity %</t>
  </si>
  <si>
    <t>Measured Y</t>
  </si>
  <si>
    <t>ΔY %</t>
  </si>
  <si>
    <t>Measured Inst Comp</t>
  </si>
  <si>
    <t>ΔComp %</t>
  </si>
  <si>
    <t>Accepted Note</t>
  </si>
  <si>
    <t>Macro-Ready Comparison Charts</t>
  </si>
  <si>
    <t>Open-safe version. Relative Volume chart includes adjustable ±error band from the 1st tab.</t>
  </si>
  <si>
    <t>Constant Composition Expansion at 256°F — Final Report (A4 Multi-Page)</t>
  </si>
  <si>
    <t>OPEN-SAFE version. Page 1: CCE results summary and first half of data. Page 2: remaining data + mean compressibility and density. Page 3: graphical representations.</t>
  </si>
  <si>
    <t>Sample &amp; Fluid Properties</t>
  </si>
  <si>
    <t>CCE Results / QC Summary</t>
  </si>
  <si>
    <t>Client</t>
  </si>
  <si>
    <t>Well / Reservoir</t>
  </si>
  <si>
    <t>SP Max Deviation (%)</t>
  </si>
  <si>
    <t>Sample</t>
  </si>
  <si>
    <t>Depth</t>
  </si>
  <si>
    <t>TP Max Deviation (%)</t>
  </si>
  <si>
    <t>Temperature</t>
  </si>
  <si>
    <t>Saturation pressure</t>
  </si>
  <si>
    <t>Density at saturation pressure</t>
  </si>
  <si>
    <t>Reservoir Pressure</t>
  </si>
  <si>
    <t>CCE Results (Page 1)</t>
  </si>
  <si>
    <t>Inst. Comp
(×10⁻⁶ psi⁻¹)</t>
  </si>
  <si>
    <t>CCE Results (Page 2)</t>
  </si>
  <si>
    <t>Mean Compressibility &amp; Density</t>
  </si>
  <si>
    <t>Average 3939–1156</t>
  </si>
  <si>
    <t>Reservoir→Psat Mean Comp</t>
  </si>
  <si>
    <t>Density @ Working Pressure</t>
  </si>
  <si>
    <t>Density @ Psat</t>
  </si>
  <si>
    <t>Graphical Representations</t>
  </si>
  <si>
    <t>This report tab is arranged for A4 multi-page printing: page 1 CCE results summary, page 2 mean compressibility and density, page 3 graphical representations. This is the corrected open-safe version.</t>
  </si>
  <si>
    <t>Macro-Ready Notes / VBA Hook Points</t>
  </si>
  <si>
    <t>Important note</t>
  </si>
  <si>
    <t>The earlier XLSM file could trigger an Excel content-recovery warning. This corrected workbook is saved as XLSX for open-safety while preserving the macro-ready layout and report pagination.</t>
  </si>
  <si>
    <t>Suggested VBA inputs</t>
  </si>
  <si>
    <t>Error Limit: CCE Calculation!W5; i/j/k: W6:W8; OUT flags: X16:X55; Proposed ΔV: Y16:Y55.</t>
  </si>
  <si>
    <t>Recommended next step</t>
  </si>
  <si>
    <t>After you confirm the logic/layout, I can generate the VBA code text separately for you to paste into an Excel VBA-enabled copy if you still want macro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</si>
</sst>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666666"/>
      <name val="Calibri"/>
    </font>
    <font>
      <b/>
      <sz val="10"/>
      <color rgb="FF0F4C81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color rgb="FF0F4C81"/>
      <name val="Calibri"/>
    </font>
    <font>
      <i/>
      <sz val="9"/>
      <color rgb="FF666666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EDE7F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0F4C81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DE7F6"/>
      </patternFill>
    </fill>
    <fill>
      <patternFill patternType="solid">
        <fgColor rgb="FFFDE9D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center" vertical="center" wrapText="1"/>
    </xf>
    <xf numFmtId="2" fontId="4" fillId="9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11" borderId="9" xfId="0" applyFont="1" applyFill="1" applyBorder="1" applyAlignment="1">
      <alignment horizontal="left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1" fontId="4" fillId="12" borderId="9" xfId="0" applyNumberFormat="1" applyFont="1" applyFill="1" applyBorder="1" applyAlignment="1">
      <alignment horizontal="center" vertical="center" wrapText="1"/>
    </xf>
    <xf numFmtId="166" fontId="4" fillId="9" borderId="9" xfId="0" applyNumberFormat="1" applyFont="1" applyFill="1" applyBorder="1" applyAlignment="1">
      <alignment horizontal="center" vertical="center" wrapText="1"/>
    </xf>
    <xf numFmtId="2" fontId="5" fillId="13" borderId="9" xfId="0" applyNumberFormat="1" applyFont="1" applyFill="1" applyBorder="1" applyAlignment="1">
      <alignment horizontal="center" vertical="center" wrapText="1"/>
    </xf>
    <xf numFmtId="2" fontId="4" fillId="12" borderId="9" xfId="0" applyNumberFormat="1" applyFont="1" applyFill="1" applyBorder="1" applyAlignment="1">
      <alignment horizontal="center" vertical="center" wrapText="1"/>
    </xf>
    <xf numFmtId="165" fontId="4" fillId="9" borderId="9" xfId="0" applyNumberFormat="1" applyFont="1" applyFill="1" applyBorder="1" applyAlignment="1">
      <alignment horizontal="center" vertical="center" wrapText="1"/>
    </xf>
    <xf numFmtId="165" fontId="4" fillId="12" borderId="9" xfId="0" applyNumberFormat="1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2" fontId="4" fillId="13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6" fillId="10" borderId="9" xfId="0" applyFont="1" applyFill="1" applyBorder="1" applyAlignment="1">
      <alignment horizontal="center" vertical="center" wrapText="1"/>
    </xf>
    <xf numFmtId="0" fontId="0" fillId="0" borderId="0" xfId="0"/>
    <xf numFmtId="0" fontId="5" fillId="14" borderId="9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DE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vs RV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Calculation'!$D$16:$D$55</c:f>
              <c:numCache>
                <c:formatCode>0.000000</c:formatCode>
                <c:ptCount val="40"/>
                <c:pt idx="0">
                  <c:v>0.94088229029999992</c:v>
                </c:pt>
                <c:pt idx="1">
                  <c:v>0.94441420350000005</c:v>
                </c:pt>
                <c:pt idx="2">
                  <c:v>0.94816077050000003</c:v>
                </c:pt>
                <c:pt idx="3">
                  <c:v>0.95210020949999996</c:v>
                </c:pt>
                <c:pt idx="4">
                  <c:v>0.95629187869999999</c:v>
                </c:pt>
                <c:pt idx="5">
                  <c:v>0.96066681639999996</c:v>
                </c:pt>
                <c:pt idx="6">
                  <c:v>0.96529542280000002</c:v>
                </c:pt>
                <c:pt idx="7">
                  <c:v>0.96616910970000003</c:v>
                </c:pt>
                <c:pt idx="8">
                  <c:v>0.97021045920000004</c:v>
                </c:pt>
                <c:pt idx="9">
                  <c:v>0.9755227231000001</c:v>
                </c:pt>
                <c:pt idx="10">
                  <c:v>0.98126455309999994</c:v>
                </c:pt>
                <c:pt idx="11">
                  <c:v>0.98748085139999997</c:v>
                </c:pt>
                <c:pt idx="12">
                  <c:v>0.99439123460000001</c:v>
                </c:pt>
                <c:pt idx="13">
                  <c:v>0.99785537860000006</c:v>
                </c:pt>
                <c:pt idx="14">
                  <c:v>0.99854667850000001</c:v>
                </c:pt>
                <c:pt idx="15">
                  <c:v>0.99886205970000008</c:v>
                </c:pt>
                <c:pt idx="16">
                  <c:v>0.99916086770000012</c:v>
                </c:pt>
                <c:pt idx="17">
                  <c:v>0.99946202240000004</c:v>
                </c:pt>
                <c:pt idx="18">
                  <c:v>0.99970439769999997</c:v>
                </c:pt>
                <c:pt idx="19">
                  <c:v>1</c:v>
                </c:pt>
                <c:pt idx="20">
                  <c:v>1.0016583086999999</c:v>
                </c:pt>
                <c:pt idx="21">
                  <c:v>1.0018065658999999</c:v>
                </c:pt>
                <c:pt idx="22">
                  <c:v>1.0021340235</c:v>
                </c:pt>
                <c:pt idx="23">
                  <c:v>1.0030535297000001</c:v>
                </c:pt>
                <c:pt idx="24">
                  <c:v>1.0036072119999999</c:v>
                </c:pt>
                <c:pt idx="25">
                  <c:v>1.0057921268000001</c:v>
                </c:pt>
                <c:pt idx="26">
                  <c:v>1.0074560678</c:v>
                </c:pt>
                <c:pt idx="27">
                  <c:v>1.0124017057999999</c:v>
                </c:pt>
                <c:pt idx="28">
                  <c:v>1.0220405460999999</c:v>
                </c:pt>
                <c:pt idx="29">
                  <c:v>1.0423127391</c:v>
                </c:pt>
                <c:pt idx="30">
                  <c:v>1.0821733195999999</c:v>
                </c:pt>
                <c:pt idx="31">
                  <c:v>1.1625714743</c:v>
                </c:pt>
                <c:pt idx="32">
                  <c:v>1.3230581577999998</c:v>
                </c:pt>
                <c:pt idx="33">
                  <c:v>1.5633538735999999</c:v>
                </c:pt>
                <c:pt idx="34">
                  <c:v>1.8839575353</c:v>
                </c:pt>
                <c:pt idx="35">
                  <c:v>2.2042188615000002</c:v>
                </c:pt>
                <c:pt idx="36">
                  <c:v>2.6040870006999999</c:v>
                </c:pt>
                <c:pt idx="37">
                  <c:v>3.0007323351999999</c:v>
                </c:pt>
                <c:pt idx="38">
                  <c:v>3.3945179985</c:v>
                </c:pt>
                <c:pt idx="39">
                  <c:v>3.8670289135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B-48F8-8C38-0532588EFEEF}"/>
            </c:ext>
          </c:extLst>
        </c:ser>
        <c:ser>
          <c:idx val="1"/>
          <c:order val="1"/>
          <c:tx>
            <c:v>PVT SIM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Calculation'!$Q$16:$Q$54</c:f>
              <c:numCache>
                <c:formatCode>0.000000</c:formatCode>
                <c:ptCount val="39"/>
                <c:pt idx="0">
                  <c:v>0.94088229029999992</c:v>
                </c:pt>
                <c:pt idx="1">
                  <c:v>0.94441420350000005</c:v>
                </c:pt>
                <c:pt idx="2">
                  <c:v>0.94816077050000003</c:v>
                </c:pt>
                <c:pt idx="3">
                  <c:v>0.95210020949999996</c:v>
                </c:pt>
                <c:pt idx="4">
                  <c:v>0.95629187869999999</c:v>
                </c:pt>
                <c:pt idx="5">
                  <c:v>0.96066681639999996</c:v>
                </c:pt>
                <c:pt idx="6">
                  <c:v>0.96529542280000002</c:v>
                </c:pt>
                <c:pt idx="7">
                  <c:v>0.96616910970000003</c:v>
                </c:pt>
                <c:pt idx="8">
                  <c:v>0.97021045920000004</c:v>
                </c:pt>
                <c:pt idx="9">
                  <c:v>0.9755227231000001</c:v>
                </c:pt>
                <c:pt idx="10">
                  <c:v>0.98126455309999994</c:v>
                </c:pt>
                <c:pt idx="11">
                  <c:v>0.98748085139999997</c:v>
                </c:pt>
                <c:pt idx="12">
                  <c:v>0.99439123460000001</c:v>
                </c:pt>
                <c:pt idx="13">
                  <c:v>0.99785537860000006</c:v>
                </c:pt>
                <c:pt idx="14">
                  <c:v>0.99854667850000001</c:v>
                </c:pt>
                <c:pt idx="15">
                  <c:v>0.99886205970000008</c:v>
                </c:pt>
                <c:pt idx="16">
                  <c:v>0.99916086770000012</c:v>
                </c:pt>
                <c:pt idx="17">
                  <c:v>0.99946202240000004</c:v>
                </c:pt>
                <c:pt idx="18">
                  <c:v>0.99970439769999997</c:v>
                </c:pt>
                <c:pt idx="19">
                  <c:v>1</c:v>
                </c:pt>
                <c:pt idx="20">
                  <c:v>1.0016583086999999</c:v>
                </c:pt>
                <c:pt idx="21">
                  <c:v>1.0018065658999999</c:v>
                </c:pt>
                <c:pt idx="22">
                  <c:v>1.0021340235</c:v>
                </c:pt>
                <c:pt idx="23">
                  <c:v>1.0030535297000001</c:v>
                </c:pt>
                <c:pt idx="24">
                  <c:v>1.0036072119999999</c:v>
                </c:pt>
                <c:pt idx="25">
                  <c:v>1.0057921268000001</c:v>
                </c:pt>
                <c:pt idx="26">
                  <c:v>1.0074560678</c:v>
                </c:pt>
                <c:pt idx="27">
                  <c:v>1.0124017057999999</c:v>
                </c:pt>
                <c:pt idx="28">
                  <c:v>1.0220405460999999</c:v>
                </c:pt>
                <c:pt idx="29">
                  <c:v>1.0423127391</c:v>
                </c:pt>
                <c:pt idx="30">
                  <c:v>1.0821733195999999</c:v>
                </c:pt>
                <c:pt idx="31">
                  <c:v>1.1625714743</c:v>
                </c:pt>
                <c:pt idx="32">
                  <c:v>1.3230581577999998</c:v>
                </c:pt>
                <c:pt idx="33">
                  <c:v>1.5633538735999999</c:v>
                </c:pt>
                <c:pt idx="34">
                  <c:v>1.8839575353</c:v>
                </c:pt>
                <c:pt idx="35">
                  <c:v>2.2042188615000002</c:v>
                </c:pt>
                <c:pt idx="36">
                  <c:v>2.6040870006999999</c:v>
                </c:pt>
                <c:pt idx="37">
                  <c:v>3.0007323351999999</c:v>
                </c:pt>
                <c:pt idx="38">
                  <c:v>3.3945179985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B-48F8-8C38-0532588EF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69840"/>
        <c:axId val="527573200"/>
      </c:scatterChart>
      <c:valAx>
        <c:axId val="527569840"/>
        <c:scaling>
          <c:orientation val="minMax"/>
        </c:scaling>
        <c:delete val="0"/>
        <c:axPos val="b"/>
        <c:title>
          <c:overlay val="0"/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73200"/>
        <c:crosses val="autoZero"/>
        <c:crossBetween val="midCat"/>
      </c:valAx>
      <c:valAx>
        <c:axId val="527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overlay val="0"/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69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vs Density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Calculation'!$E$16:$E$55</c:f>
              <c:numCache>
                <c:formatCode>0.000000</c:formatCode>
                <c:ptCount val="40"/>
                <c:pt idx="0">
                  <c:v>0.72867999999999999</c:v>
                </c:pt>
                <c:pt idx="1">
                  <c:v>0.72595488796648944</c:v>
                </c:pt>
                <c:pt idx="2">
                  <c:v>0.72308634635269786</c:v>
                </c:pt>
                <c:pt idx="3">
                  <c:v>0.72009448213003879</c:v>
                </c:pt>
                <c:pt idx="4">
                  <c:v>0.71693812586573824</c:v>
                </c:pt>
                <c:pt idx="5">
                  <c:v>0.71367314410320448</c:v>
                </c:pt>
                <c:pt idx="6">
                  <c:v>0.71025107039987911</c:v>
                </c:pt>
                <c:pt idx="7">
                  <c:v>0.70960880493135048</c:v>
                </c:pt>
                <c:pt idx="8">
                  <c:v>0.70665297492373591</c:v>
                </c:pt>
                <c:pt idx="9">
                  <c:v>0.70280485637188317</c:v>
                </c:pt>
                <c:pt idx="10">
                  <c:v>0.69869242206890836</c:v>
                </c:pt>
                <c:pt idx="11">
                  <c:v>0.69429407803077114</c:v>
                </c:pt>
                <c:pt idx="12">
                  <c:v>0.68946917816667153</c:v>
                </c:pt>
                <c:pt idx="13">
                  <c:v>0.68707562438327463</c:v>
                </c:pt>
                <c:pt idx="14">
                  <c:v>0.68659995777633931</c:v>
                </c:pt>
                <c:pt idx="15">
                  <c:v>0.68638317036660579</c:v>
                </c:pt>
                <c:pt idx="16">
                  <c:v>0.68617790133636136</c:v>
                </c:pt>
                <c:pt idx="17">
                  <c:v>0.68597114440574047</c:v>
                </c:pt>
                <c:pt idx="18">
                  <c:v>0.68580483278172533</c:v>
                </c:pt>
                <c:pt idx="19">
                  <c:v>0.68560210729580395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DD-472E-AF5E-B0773AE01D30}"/>
            </c:ext>
          </c:extLst>
        </c:ser>
        <c:ser>
          <c:idx val="1"/>
          <c:order val="1"/>
          <c:tx>
            <c:v>PVT SIM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Calculation'!$R$16:$R$54</c:f>
              <c:numCache>
                <c:formatCode>0.000000</c:formatCode>
                <c:ptCount val="39"/>
                <c:pt idx="0">
                  <c:v>0.72867999999999999</c:v>
                </c:pt>
                <c:pt idx="1">
                  <c:v>0.72595488796648944</c:v>
                </c:pt>
                <c:pt idx="2">
                  <c:v>0.72308634635269786</c:v>
                </c:pt>
                <c:pt idx="3">
                  <c:v>0.72009448213003879</c:v>
                </c:pt>
                <c:pt idx="4">
                  <c:v>0.71693812586573824</c:v>
                </c:pt>
                <c:pt idx="5">
                  <c:v>0.71367314410320448</c:v>
                </c:pt>
                <c:pt idx="6">
                  <c:v>0.71025107039987911</c:v>
                </c:pt>
                <c:pt idx="7">
                  <c:v>0.70960880493135048</c:v>
                </c:pt>
                <c:pt idx="8">
                  <c:v>0.70665297492373591</c:v>
                </c:pt>
                <c:pt idx="9">
                  <c:v>0.70280485637188317</c:v>
                </c:pt>
                <c:pt idx="10">
                  <c:v>0.69869242206890836</c:v>
                </c:pt>
                <c:pt idx="11">
                  <c:v>0.69429407803077114</c:v>
                </c:pt>
                <c:pt idx="12">
                  <c:v>0.68946917816667153</c:v>
                </c:pt>
                <c:pt idx="13">
                  <c:v>0.68707562438327463</c:v>
                </c:pt>
                <c:pt idx="14">
                  <c:v>0.68659995777633931</c:v>
                </c:pt>
                <c:pt idx="15">
                  <c:v>0.68638317036660579</c:v>
                </c:pt>
                <c:pt idx="16">
                  <c:v>0.68617790133636136</c:v>
                </c:pt>
                <c:pt idx="17">
                  <c:v>0.68597114440574047</c:v>
                </c:pt>
                <c:pt idx="18">
                  <c:v>0.68580483278172533</c:v>
                </c:pt>
                <c:pt idx="19">
                  <c:v>0.68560210729580395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DD-472E-AF5E-B0773AE0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69840"/>
        <c:axId val="527573200"/>
      </c:scatterChart>
      <c:valAx>
        <c:axId val="5275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73200"/>
        <c:crosses val="autoZero"/>
        <c:crossBetween val="midCat"/>
      </c:valAx>
      <c:valAx>
        <c:axId val="527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698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vs Y function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Calculation'!$G$16:$G$55</c:f>
              <c:numCache>
                <c:formatCode>0.000000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2.0115326737256582</c:v>
                </c:pt>
                <c:pt idx="21">
                  <c:v>2.01139906897038</c:v>
                </c:pt>
                <c:pt idx="22">
                  <c:v>2.0111040510915226</c:v>
                </c:pt>
                <c:pt idx="23">
                  <c:v>2.0102778240400117</c:v>
                </c:pt>
                <c:pt idx="24">
                  <c:v>2.0097817435972019</c:v>
                </c:pt>
                <c:pt idx="25">
                  <c:v>2.0078343496977471</c:v>
                </c:pt>
                <c:pt idx="26">
                  <c:v>2.0063622599158757</c:v>
                </c:pt>
                <c:pt idx="27">
                  <c:v>2.0020414398067468</c:v>
                </c:pt>
                <c:pt idx="28">
                  <c:v>1.9938465890685613</c:v>
                </c:pt>
                <c:pt idx="29">
                  <c:v>1.9775137137779255</c:v>
                </c:pt>
                <c:pt idx="30">
                  <c:v>1.9484780137930287</c:v>
                </c:pt>
                <c:pt idx="31">
                  <c:v>1.8994534250558652</c:v>
                </c:pt>
                <c:pt idx="32">
                  <c:v>1.8262587289730097</c:v>
                </c:pt>
                <c:pt idx="33">
                  <c:v>1.7507420066422137</c:v>
                </c:pt>
                <c:pt idx="34">
                  <c:v>1.6823733063921877</c:v>
                </c:pt>
                <c:pt idx="35">
                  <c:v>1.6337171709742262</c:v>
                </c:pt>
                <c:pt idx="36">
                  <c:v>1.5885135674900581</c:v>
                </c:pt>
                <c:pt idx="37">
                  <c:v>1.5541686886133397</c:v>
                </c:pt>
                <c:pt idx="38">
                  <c:v>1.5268067259837335</c:v>
                </c:pt>
                <c:pt idx="39">
                  <c:v>1.5000450263429546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7-4E1B-9A48-526173611285}"/>
            </c:ext>
          </c:extLst>
        </c:ser>
        <c:ser>
          <c:idx val="1"/>
          <c:order val="1"/>
          <c:tx>
            <c:v>PVT SIM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Calculation'!$S$16:$S$55</c:f>
              <c:numCache>
                <c:formatCode>0.000000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2.0115326737256582</c:v>
                </c:pt>
                <c:pt idx="21">
                  <c:v>2.01139906897038</c:v>
                </c:pt>
                <c:pt idx="22">
                  <c:v>2.0111040510915226</c:v>
                </c:pt>
                <c:pt idx="23">
                  <c:v>2.0102778240400117</c:v>
                </c:pt>
                <c:pt idx="24">
                  <c:v>2.0097817435972019</c:v>
                </c:pt>
                <c:pt idx="25">
                  <c:v>2.0078343496977471</c:v>
                </c:pt>
                <c:pt idx="26">
                  <c:v>2.0063622599158757</c:v>
                </c:pt>
                <c:pt idx="27">
                  <c:v>2.0020414398067468</c:v>
                </c:pt>
                <c:pt idx="28">
                  <c:v>1.9938465890685613</c:v>
                </c:pt>
                <c:pt idx="29">
                  <c:v>1.9775137137779255</c:v>
                </c:pt>
                <c:pt idx="30">
                  <c:v>1.9484780137930287</c:v>
                </c:pt>
                <c:pt idx="31">
                  <c:v>1.8994534250558652</c:v>
                </c:pt>
                <c:pt idx="32">
                  <c:v>1.8262587289730097</c:v>
                </c:pt>
                <c:pt idx="33">
                  <c:v>1.7507420066422137</c:v>
                </c:pt>
                <c:pt idx="34">
                  <c:v>1.6823733063921877</c:v>
                </c:pt>
                <c:pt idx="35">
                  <c:v>1.6337171709742262</c:v>
                </c:pt>
                <c:pt idx="36">
                  <c:v>1.5885135674900581</c:v>
                </c:pt>
                <c:pt idx="37">
                  <c:v>1.5541686886133397</c:v>
                </c:pt>
                <c:pt idx="38">
                  <c:v>1.5268067259837335</c:v>
                </c:pt>
                <c:pt idx="39">
                  <c:v>1.5000450263429546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27-4E1B-9A48-52617361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69840"/>
        <c:axId val="527573200"/>
      </c:scatterChart>
      <c:valAx>
        <c:axId val="5275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73200"/>
        <c:crosses val="autoZero"/>
        <c:crossBetween val="midCat"/>
      </c:valAx>
      <c:valAx>
        <c:axId val="527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698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vs Compressibility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Calculation'!$F$16:$F$55</c:f>
              <c:numCache>
                <c:formatCode>0.000000</c:formatCode>
                <c:ptCount val="40"/>
                <c:pt idx="0">
                  <c:v>7.6804854044954727</c:v>
                </c:pt>
                <c:pt idx="1">
                  <c:v>7.8223487254161288</c:v>
                </c:pt>
                <c:pt idx="2">
                  <c:v>8.1481553154984194</c:v>
                </c:pt>
                <c:pt idx="3">
                  <c:v>8.5164100809755734</c:v>
                </c:pt>
                <c:pt idx="4">
                  <c:v>8.9279778497590865</c:v>
                </c:pt>
                <c:pt idx="5">
                  <c:v>9.3980839084758578</c:v>
                </c:pt>
                <c:pt idx="6">
                  <c:v>9.6773324417836655</c:v>
                </c:pt>
                <c:pt idx="7">
                  <c:v>10.236258215289961</c:v>
                </c:pt>
                <c:pt idx="8">
                  <c:v>10.62310251989024</c:v>
                </c:pt>
                <c:pt idx="9">
                  <c:v>11.298114119058045</c:v>
                </c:pt>
                <c:pt idx="10">
                  <c:v>12.186544319789581</c:v>
                </c:pt>
                <c:pt idx="11">
                  <c:v>13.279018720195429</c:v>
                </c:pt>
                <c:pt idx="12">
                  <c:v>14.172775770578308</c:v>
                </c:pt>
                <c:pt idx="13">
                  <c:v>14.944624483881903</c:v>
                </c:pt>
                <c:pt idx="14">
                  <c:v>15.328290438628578</c:v>
                </c:pt>
                <c:pt idx="15">
                  <c:v>15.415463045523387</c:v>
                </c:pt>
                <c:pt idx="16">
                  <c:v>15.461318054693082</c:v>
                </c:pt>
                <c:pt idx="17">
                  <c:v>15.492725853315763</c:v>
                </c:pt>
                <c:pt idx="18">
                  <c:v>15.492188923267747</c:v>
                </c:pt>
                <c:pt idx="19">
                  <c:v>85.166679743004252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B-473D-94A6-329424A1C695}"/>
            </c:ext>
          </c:extLst>
        </c:ser>
        <c:ser>
          <c:idx val="1"/>
          <c:order val="1"/>
          <c:tx>
            <c:v>PVT SIM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Calculation'!$T$16:$T$55</c:f>
              <c:numCache>
                <c:formatCode>0.000000</c:formatCode>
                <c:ptCount val="40"/>
                <c:pt idx="0">
                  <c:v>7.6804854044954727</c:v>
                </c:pt>
                <c:pt idx="1">
                  <c:v>7.8223487254161288</c:v>
                </c:pt>
                <c:pt idx="2">
                  <c:v>8.1481553154984194</c:v>
                </c:pt>
                <c:pt idx="3">
                  <c:v>8.5164100809755734</c:v>
                </c:pt>
                <c:pt idx="4">
                  <c:v>8.9279778497590865</c:v>
                </c:pt>
                <c:pt idx="5">
                  <c:v>9.3980839084758578</c:v>
                </c:pt>
                <c:pt idx="6">
                  <c:v>9.6773324417836655</c:v>
                </c:pt>
                <c:pt idx="7">
                  <c:v>10.236258215289961</c:v>
                </c:pt>
                <c:pt idx="8">
                  <c:v>10.62310251989024</c:v>
                </c:pt>
                <c:pt idx="9">
                  <c:v>11.298114119058045</c:v>
                </c:pt>
                <c:pt idx="10">
                  <c:v>12.186544319789581</c:v>
                </c:pt>
                <c:pt idx="11">
                  <c:v>13.279018720195429</c:v>
                </c:pt>
                <c:pt idx="12">
                  <c:v>14.172775770578308</c:v>
                </c:pt>
                <c:pt idx="13">
                  <c:v>14.944624483881903</c:v>
                </c:pt>
                <c:pt idx="14">
                  <c:v>15.328290438628578</c:v>
                </c:pt>
                <c:pt idx="15">
                  <c:v>15.415463045523387</c:v>
                </c:pt>
                <c:pt idx="16">
                  <c:v>15.461318054693082</c:v>
                </c:pt>
                <c:pt idx="17">
                  <c:v>15.492725853315763</c:v>
                </c:pt>
                <c:pt idx="18">
                  <c:v>15.492188923267747</c:v>
                </c:pt>
                <c:pt idx="19">
                  <c:v>85.166679743004252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EB-473D-94A6-329424A1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69840"/>
        <c:axId val="527573200"/>
      </c:scatterChart>
      <c:valAx>
        <c:axId val="5275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73200"/>
        <c:crosses val="autoZero"/>
        <c:crossBetween val="midCat"/>
      </c:valAx>
      <c:valAx>
        <c:axId val="527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698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Measured vs PVTsim Relative Volume with ±Error Band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 RelVol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Calculation'!$U$16:$U$55</c:f>
              <c:numCache>
                <c:formatCode>0.000000</c:formatCode>
                <c:ptCount val="40"/>
                <c:pt idx="0">
                  <c:v>0.94088229029999992</c:v>
                </c:pt>
                <c:pt idx="1">
                  <c:v>0.94441420350000005</c:v>
                </c:pt>
                <c:pt idx="2">
                  <c:v>0.94816077050000003</c:v>
                </c:pt>
                <c:pt idx="3">
                  <c:v>0.95210020949999996</c:v>
                </c:pt>
                <c:pt idx="4">
                  <c:v>0.95629187869999999</c:v>
                </c:pt>
                <c:pt idx="5">
                  <c:v>0.96066681639999996</c:v>
                </c:pt>
                <c:pt idx="6">
                  <c:v>0.96529542280000002</c:v>
                </c:pt>
                <c:pt idx="7">
                  <c:v>0.96616910970000003</c:v>
                </c:pt>
                <c:pt idx="8">
                  <c:v>0.97021045920000004</c:v>
                </c:pt>
                <c:pt idx="9">
                  <c:v>0.9755227231000001</c:v>
                </c:pt>
                <c:pt idx="10">
                  <c:v>0.98126455309999994</c:v>
                </c:pt>
                <c:pt idx="11">
                  <c:v>0.98748085139999997</c:v>
                </c:pt>
                <c:pt idx="12">
                  <c:v>0.99439123460000001</c:v>
                </c:pt>
                <c:pt idx="13">
                  <c:v>0.99785537860000006</c:v>
                </c:pt>
                <c:pt idx="14">
                  <c:v>0.99854667850000001</c:v>
                </c:pt>
                <c:pt idx="15">
                  <c:v>0.99886205970000008</c:v>
                </c:pt>
                <c:pt idx="16">
                  <c:v>0.99916086770000012</c:v>
                </c:pt>
                <c:pt idx="17">
                  <c:v>0.99946202240000004</c:v>
                </c:pt>
                <c:pt idx="18">
                  <c:v>0.99970439769999997</c:v>
                </c:pt>
                <c:pt idx="19">
                  <c:v>1</c:v>
                </c:pt>
                <c:pt idx="20">
                  <c:v>1.0016583086999999</c:v>
                </c:pt>
                <c:pt idx="21">
                  <c:v>1.0018065658999999</c:v>
                </c:pt>
                <c:pt idx="22">
                  <c:v>1.0021340235</c:v>
                </c:pt>
                <c:pt idx="23">
                  <c:v>1.0030535297000001</c:v>
                </c:pt>
                <c:pt idx="24">
                  <c:v>1.0036072119999999</c:v>
                </c:pt>
                <c:pt idx="25">
                  <c:v>1.0057921268000001</c:v>
                </c:pt>
                <c:pt idx="26">
                  <c:v>1.0074560678</c:v>
                </c:pt>
                <c:pt idx="27">
                  <c:v>1.0124017057999999</c:v>
                </c:pt>
                <c:pt idx="28">
                  <c:v>1.0220405460999999</c:v>
                </c:pt>
                <c:pt idx="29">
                  <c:v>1.0423127391</c:v>
                </c:pt>
                <c:pt idx="30">
                  <c:v>1.0821733195999999</c:v>
                </c:pt>
                <c:pt idx="31">
                  <c:v>1.1625714743</c:v>
                </c:pt>
                <c:pt idx="32">
                  <c:v>1.3230581577999998</c:v>
                </c:pt>
                <c:pt idx="33">
                  <c:v>1.5633538735999999</c:v>
                </c:pt>
                <c:pt idx="34">
                  <c:v>1.8839575353</c:v>
                </c:pt>
                <c:pt idx="35">
                  <c:v>2.2042188615000002</c:v>
                </c:pt>
                <c:pt idx="36">
                  <c:v>2.6040870006999999</c:v>
                </c:pt>
                <c:pt idx="37">
                  <c:v>3.0007323351999999</c:v>
                </c:pt>
                <c:pt idx="38">
                  <c:v>3.3945179985</c:v>
                </c:pt>
                <c:pt idx="39">
                  <c:v>3.8670289135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73-413B-92B3-7E4AB2541336}"/>
            </c:ext>
          </c:extLst>
        </c:ser>
        <c:ser>
          <c:idx val="1"/>
          <c:order val="1"/>
          <c:tx>
            <c:v>PVTsim RelVol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Calculation'!$Q$16:$Q$55</c:f>
              <c:numCache>
                <c:formatCode>0.000000</c:formatCode>
                <c:ptCount val="40"/>
                <c:pt idx="0">
                  <c:v>0.94088229029999992</c:v>
                </c:pt>
                <c:pt idx="1">
                  <c:v>0.94441420350000005</c:v>
                </c:pt>
                <c:pt idx="2">
                  <c:v>0.94816077050000003</c:v>
                </c:pt>
                <c:pt idx="3">
                  <c:v>0.95210020949999996</c:v>
                </c:pt>
                <c:pt idx="4">
                  <c:v>0.95629187869999999</c:v>
                </c:pt>
                <c:pt idx="5">
                  <c:v>0.96066681639999996</c:v>
                </c:pt>
                <c:pt idx="6">
                  <c:v>0.96529542280000002</c:v>
                </c:pt>
                <c:pt idx="7">
                  <c:v>0.96616910970000003</c:v>
                </c:pt>
                <c:pt idx="8">
                  <c:v>0.97021045920000004</c:v>
                </c:pt>
                <c:pt idx="9">
                  <c:v>0.9755227231000001</c:v>
                </c:pt>
                <c:pt idx="10">
                  <c:v>0.98126455309999994</c:v>
                </c:pt>
                <c:pt idx="11">
                  <c:v>0.98748085139999997</c:v>
                </c:pt>
                <c:pt idx="12">
                  <c:v>0.99439123460000001</c:v>
                </c:pt>
                <c:pt idx="13">
                  <c:v>0.99785537860000006</c:v>
                </c:pt>
                <c:pt idx="14">
                  <c:v>0.99854667850000001</c:v>
                </c:pt>
                <c:pt idx="15">
                  <c:v>0.99886205970000008</c:v>
                </c:pt>
                <c:pt idx="16">
                  <c:v>0.99916086770000012</c:v>
                </c:pt>
                <c:pt idx="17">
                  <c:v>0.99946202240000004</c:v>
                </c:pt>
                <c:pt idx="18">
                  <c:v>0.99970439769999997</c:v>
                </c:pt>
                <c:pt idx="19">
                  <c:v>1</c:v>
                </c:pt>
                <c:pt idx="20">
                  <c:v>1.0016583086999999</c:v>
                </c:pt>
                <c:pt idx="21">
                  <c:v>1.0018065658999999</c:v>
                </c:pt>
                <c:pt idx="22">
                  <c:v>1.0021340235</c:v>
                </c:pt>
                <c:pt idx="23">
                  <c:v>1.0030535297000001</c:v>
                </c:pt>
                <c:pt idx="24">
                  <c:v>1.0036072119999999</c:v>
                </c:pt>
                <c:pt idx="25">
                  <c:v>1.0057921268000001</c:v>
                </c:pt>
                <c:pt idx="26">
                  <c:v>1.0074560678</c:v>
                </c:pt>
                <c:pt idx="27">
                  <c:v>1.0124017057999999</c:v>
                </c:pt>
                <c:pt idx="28">
                  <c:v>1.0220405460999999</c:v>
                </c:pt>
                <c:pt idx="29">
                  <c:v>1.0423127391</c:v>
                </c:pt>
                <c:pt idx="30">
                  <c:v>1.0821733195999999</c:v>
                </c:pt>
                <c:pt idx="31">
                  <c:v>1.1625714743</c:v>
                </c:pt>
                <c:pt idx="32">
                  <c:v>1.3230581577999998</c:v>
                </c:pt>
                <c:pt idx="33">
                  <c:v>1.5633538735999999</c:v>
                </c:pt>
                <c:pt idx="34">
                  <c:v>1.8839575353</c:v>
                </c:pt>
                <c:pt idx="35">
                  <c:v>2.2042188615000002</c:v>
                </c:pt>
                <c:pt idx="36">
                  <c:v>2.6040870006999999</c:v>
                </c:pt>
                <c:pt idx="37">
                  <c:v>3.0007323351999999</c:v>
                </c:pt>
                <c:pt idx="38">
                  <c:v>3.3945179985</c:v>
                </c:pt>
                <c:pt idx="39">
                  <c:v>3.8670289135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73-413B-92B3-7E4AB2541336}"/>
            </c:ext>
          </c:extLst>
        </c:ser>
        <c:ser>
          <c:idx val="2"/>
          <c:order val="2"/>
          <c:tx>
            <c:v>Upper Limit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Calculation'!$V$16:$V$55</c:f>
              <c:numCache>
                <c:formatCode>0.000000</c:formatCode>
                <c:ptCount val="40"/>
                <c:pt idx="0">
                  <c:v>0.95969993610599991</c:v>
                </c:pt>
                <c:pt idx="1">
                  <c:v>0.96330248757000003</c:v>
                </c:pt>
                <c:pt idx="2">
                  <c:v>0.96712398591000004</c:v>
                </c:pt>
                <c:pt idx="3">
                  <c:v>0.97114221368999998</c:v>
                </c:pt>
                <c:pt idx="4">
                  <c:v>0.97541771627399998</c:v>
                </c:pt>
                <c:pt idx="5">
                  <c:v>0.979880152728</c:v>
                </c:pt>
                <c:pt idx="6">
                  <c:v>0.98460133125600002</c:v>
                </c:pt>
                <c:pt idx="7">
                  <c:v>0.98549249189400001</c:v>
                </c:pt>
                <c:pt idx="8">
                  <c:v>0.98961466838400003</c:v>
                </c:pt>
                <c:pt idx="9">
                  <c:v>0.99503317756200016</c:v>
                </c:pt>
                <c:pt idx="10">
                  <c:v>1.000889844162</c:v>
                </c:pt>
                <c:pt idx="11">
                  <c:v>1.007230468428</c:v>
                </c:pt>
                <c:pt idx="12">
                  <c:v>1.0142790592920001</c:v>
                </c:pt>
                <c:pt idx="13">
                  <c:v>1.0178124861720002</c:v>
                </c:pt>
                <c:pt idx="14">
                  <c:v>1.0185176120700001</c:v>
                </c:pt>
                <c:pt idx="15">
                  <c:v>1.0188393008940002</c:v>
                </c:pt>
                <c:pt idx="16">
                  <c:v>1.0191440850540001</c:v>
                </c:pt>
                <c:pt idx="17">
                  <c:v>1.0194512628480001</c:v>
                </c:pt>
                <c:pt idx="18">
                  <c:v>1.0196984856539999</c:v>
                </c:pt>
                <c:pt idx="19">
                  <c:v>1.02</c:v>
                </c:pt>
                <c:pt idx="20">
                  <c:v>1.021691474874</c:v>
                </c:pt>
                <c:pt idx="21">
                  <c:v>1.0218426972179999</c:v>
                </c:pt>
                <c:pt idx="22">
                  <c:v>1.02217670397</c:v>
                </c:pt>
                <c:pt idx="23">
                  <c:v>1.0231146002940001</c:v>
                </c:pt>
                <c:pt idx="24">
                  <c:v>1.0236793562399999</c:v>
                </c:pt>
                <c:pt idx="25">
                  <c:v>1.025907969336</c:v>
                </c:pt>
                <c:pt idx="26">
                  <c:v>1.0276051891560001</c:v>
                </c:pt>
                <c:pt idx="27">
                  <c:v>1.032649739916</c:v>
                </c:pt>
                <c:pt idx="28">
                  <c:v>1.042481357022</c:v>
                </c:pt>
                <c:pt idx="29">
                  <c:v>1.0631589938820001</c:v>
                </c:pt>
                <c:pt idx="30">
                  <c:v>1.1038167859919998</c:v>
                </c:pt>
                <c:pt idx="31">
                  <c:v>1.185822903786</c:v>
                </c:pt>
                <c:pt idx="32">
                  <c:v>1.3495193209559999</c:v>
                </c:pt>
                <c:pt idx="33">
                  <c:v>1.594620951072</c:v>
                </c:pt>
                <c:pt idx="34">
                  <c:v>1.9216366860060001</c:v>
                </c:pt>
                <c:pt idx="35">
                  <c:v>2.2483032387300002</c:v>
                </c:pt>
                <c:pt idx="36">
                  <c:v>2.656168740714</c:v>
                </c:pt>
                <c:pt idx="37">
                  <c:v>3.0607469819039999</c:v>
                </c:pt>
                <c:pt idx="38">
                  <c:v>3.4624083584700003</c:v>
                </c:pt>
                <c:pt idx="39">
                  <c:v>3.9443694917699998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73-413B-92B3-7E4AB2541336}"/>
            </c:ext>
          </c:extLst>
        </c:ser>
        <c:ser>
          <c:idx val="3"/>
          <c:order val="3"/>
          <c:tx>
            <c:v>Lower Limit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Calculation'!$W$16:$W$55</c:f>
              <c:numCache>
                <c:formatCode>0.000000</c:formatCode>
                <c:ptCount val="40"/>
                <c:pt idx="0">
                  <c:v>0.92206464449399994</c:v>
                </c:pt>
                <c:pt idx="1">
                  <c:v>0.92552591943000007</c:v>
                </c:pt>
                <c:pt idx="2">
                  <c:v>0.92919755509000002</c:v>
                </c:pt>
                <c:pt idx="3">
                  <c:v>0.93305820530999994</c:v>
                </c:pt>
                <c:pt idx="4">
                  <c:v>0.93716604112599999</c:v>
                </c:pt>
                <c:pt idx="5">
                  <c:v>0.94145348007199992</c:v>
                </c:pt>
                <c:pt idx="6">
                  <c:v>0.94598951434400003</c:v>
                </c:pt>
                <c:pt idx="7">
                  <c:v>0.94684572750600005</c:v>
                </c:pt>
                <c:pt idx="8">
                  <c:v>0.95080625001600005</c:v>
                </c:pt>
                <c:pt idx="9">
                  <c:v>0.95601226863800004</c:v>
                </c:pt>
                <c:pt idx="10">
                  <c:v>0.96163926203799988</c:v>
                </c:pt>
                <c:pt idx="11">
                  <c:v>0.96773123437199993</c:v>
                </c:pt>
                <c:pt idx="12">
                  <c:v>0.974503409908</c:v>
                </c:pt>
                <c:pt idx="13">
                  <c:v>0.97789827102800009</c:v>
                </c:pt>
                <c:pt idx="14">
                  <c:v>0.97857574492999999</c:v>
                </c:pt>
                <c:pt idx="15">
                  <c:v>0.97888481850600007</c:v>
                </c:pt>
                <c:pt idx="16">
                  <c:v>0.97917765034600013</c:v>
                </c:pt>
                <c:pt idx="17">
                  <c:v>0.97947278195200005</c:v>
                </c:pt>
                <c:pt idx="18">
                  <c:v>0.97971030974599993</c:v>
                </c:pt>
                <c:pt idx="19">
                  <c:v>0.98</c:v>
                </c:pt>
                <c:pt idx="20">
                  <c:v>0.98162514252599997</c:v>
                </c:pt>
                <c:pt idx="21">
                  <c:v>0.98177043458199997</c:v>
                </c:pt>
                <c:pt idx="22">
                  <c:v>0.98209134303000001</c:v>
                </c:pt>
                <c:pt idx="23">
                  <c:v>0.98299245910600008</c:v>
                </c:pt>
                <c:pt idx="24">
                  <c:v>0.98353506775999988</c:v>
                </c:pt>
                <c:pt idx="25">
                  <c:v>0.985676284264</c:v>
                </c:pt>
                <c:pt idx="26">
                  <c:v>0.98730694644399997</c:v>
                </c:pt>
                <c:pt idx="27">
                  <c:v>0.99215367168399982</c:v>
                </c:pt>
                <c:pt idx="28">
                  <c:v>1.0015997351779999</c:v>
                </c:pt>
                <c:pt idx="29">
                  <c:v>1.0214664843179999</c:v>
                </c:pt>
                <c:pt idx="30">
                  <c:v>1.0605298532079999</c:v>
                </c:pt>
                <c:pt idx="31">
                  <c:v>1.139320044814</c:v>
                </c:pt>
                <c:pt idx="32">
                  <c:v>1.2965969946439997</c:v>
                </c:pt>
                <c:pt idx="33">
                  <c:v>1.5320867961279998</c:v>
                </c:pt>
                <c:pt idx="34">
                  <c:v>1.8462783845939998</c:v>
                </c:pt>
                <c:pt idx="35">
                  <c:v>2.1601344842700003</c:v>
                </c:pt>
                <c:pt idx="36">
                  <c:v>2.5520052606859998</c:v>
                </c:pt>
                <c:pt idx="37">
                  <c:v>2.940717688496</c:v>
                </c:pt>
                <c:pt idx="38">
                  <c:v>3.3266276385299998</c:v>
                </c:pt>
                <c:pt idx="39">
                  <c:v>3.7896883352300001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73-413B-92B3-7E4AB254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Relative Volume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Measured vs PVTsim Density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 Density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Calculation'!$E$16:$E$55</c:f>
              <c:numCache>
                <c:formatCode>0.000000</c:formatCode>
                <c:ptCount val="40"/>
                <c:pt idx="0">
                  <c:v>0.72867999999999999</c:v>
                </c:pt>
                <c:pt idx="1">
                  <c:v>0.72595488796648944</c:v>
                </c:pt>
                <c:pt idx="2">
                  <c:v>0.72308634635269786</c:v>
                </c:pt>
                <c:pt idx="3">
                  <c:v>0.72009448213003879</c:v>
                </c:pt>
                <c:pt idx="4">
                  <c:v>0.71693812586573824</c:v>
                </c:pt>
                <c:pt idx="5">
                  <c:v>0.71367314410320448</c:v>
                </c:pt>
                <c:pt idx="6">
                  <c:v>0.71025107039987911</c:v>
                </c:pt>
                <c:pt idx="7">
                  <c:v>0.70960880493135048</c:v>
                </c:pt>
                <c:pt idx="8">
                  <c:v>0.70665297492373591</c:v>
                </c:pt>
                <c:pt idx="9">
                  <c:v>0.70280485637188317</c:v>
                </c:pt>
                <c:pt idx="10">
                  <c:v>0.69869242206890836</c:v>
                </c:pt>
                <c:pt idx="11">
                  <c:v>0.69429407803077114</c:v>
                </c:pt>
                <c:pt idx="12">
                  <c:v>0.68946917816667153</c:v>
                </c:pt>
                <c:pt idx="13">
                  <c:v>0.68707562438327463</c:v>
                </c:pt>
                <c:pt idx="14">
                  <c:v>0.68659995777633931</c:v>
                </c:pt>
                <c:pt idx="15">
                  <c:v>0.68638317036660579</c:v>
                </c:pt>
                <c:pt idx="16">
                  <c:v>0.68617790133636136</c:v>
                </c:pt>
                <c:pt idx="17">
                  <c:v>0.68597114440574047</c:v>
                </c:pt>
                <c:pt idx="18">
                  <c:v>0.68580483278172533</c:v>
                </c:pt>
                <c:pt idx="19">
                  <c:v>0.68560210729580395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E4-4E8C-BBFE-C0CFB6881EB8}"/>
            </c:ext>
          </c:extLst>
        </c:ser>
        <c:ser>
          <c:idx val="1"/>
          <c:order val="1"/>
          <c:tx>
            <c:v>PVTsim Density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Calculation'!$R$16:$R$55</c:f>
              <c:numCache>
                <c:formatCode>0.000000</c:formatCode>
                <c:ptCount val="40"/>
                <c:pt idx="0">
                  <c:v>0.72867999999999999</c:v>
                </c:pt>
                <c:pt idx="1">
                  <c:v>0.72595488796648944</c:v>
                </c:pt>
                <c:pt idx="2">
                  <c:v>0.72308634635269786</c:v>
                </c:pt>
                <c:pt idx="3">
                  <c:v>0.72009448213003879</c:v>
                </c:pt>
                <c:pt idx="4">
                  <c:v>0.71693812586573824</c:v>
                </c:pt>
                <c:pt idx="5">
                  <c:v>0.71367314410320448</c:v>
                </c:pt>
                <c:pt idx="6">
                  <c:v>0.71025107039987911</c:v>
                </c:pt>
                <c:pt idx="7">
                  <c:v>0.70960880493135048</c:v>
                </c:pt>
                <c:pt idx="8">
                  <c:v>0.70665297492373591</c:v>
                </c:pt>
                <c:pt idx="9">
                  <c:v>0.70280485637188317</c:v>
                </c:pt>
                <c:pt idx="10">
                  <c:v>0.69869242206890836</c:v>
                </c:pt>
                <c:pt idx="11">
                  <c:v>0.69429407803077114</c:v>
                </c:pt>
                <c:pt idx="12">
                  <c:v>0.68946917816667153</c:v>
                </c:pt>
                <c:pt idx="13">
                  <c:v>0.68707562438327463</c:v>
                </c:pt>
                <c:pt idx="14">
                  <c:v>0.68659995777633931</c:v>
                </c:pt>
                <c:pt idx="15">
                  <c:v>0.68638317036660579</c:v>
                </c:pt>
                <c:pt idx="16">
                  <c:v>0.68617790133636136</c:v>
                </c:pt>
                <c:pt idx="17">
                  <c:v>0.68597114440574047</c:v>
                </c:pt>
                <c:pt idx="18">
                  <c:v>0.68580483278172533</c:v>
                </c:pt>
                <c:pt idx="19">
                  <c:v>0.68560210729580395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E4-4E8C-BBFE-C0CFB6881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Density (g/cm³)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Measured vs PVTsim Y-Function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 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Calculation'!$G$16:$G$55</c:f>
              <c:numCache>
                <c:formatCode>0.000000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2.0115326737256582</c:v>
                </c:pt>
                <c:pt idx="21">
                  <c:v>2.01139906897038</c:v>
                </c:pt>
                <c:pt idx="22">
                  <c:v>2.0111040510915226</c:v>
                </c:pt>
                <c:pt idx="23">
                  <c:v>2.0102778240400117</c:v>
                </c:pt>
                <c:pt idx="24">
                  <c:v>2.0097817435972019</c:v>
                </c:pt>
                <c:pt idx="25">
                  <c:v>2.0078343496977471</c:v>
                </c:pt>
                <c:pt idx="26">
                  <c:v>2.0063622599158757</c:v>
                </c:pt>
                <c:pt idx="27">
                  <c:v>2.0020414398067468</c:v>
                </c:pt>
                <c:pt idx="28">
                  <c:v>1.9938465890685613</c:v>
                </c:pt>
                <c:pt idx="29">
                  <c:v>1.9775137137779255</c:v>
                </c:pt>
                <c:pt idx="30">
                  <c:v>1.9484780137930287</c:v>
                </c:pt>
                <c:pt idx="31">
                  <c:v>1.8994534250558652</c:v>
                </c:pt>
                <c:pt idx="32">
                  <c:v>1.8262587289730097</c:v>
                </c:pt>
                <c:pt idx="33">
                  <c:v>1.7507420066422137</c:v>
                </c:pt>
                <c:pt idx="34">
                  <c:v>1.6823733063921877</c:v>
                </c:pt>
                <c:pt idx="35">
                  <c:v>1.6337171709742262</c:v>
                </c:pt>
                <c:pt idx="36">
                  <c:v>1.5885135674900581</c:v>
                </c:pt>
                <c:pt idx="37">
                  <c:v>1.5541686886133397</c:v>
                </c:pt>
                <c:pt idx="38">
                  <c:v>1.5268067259837335</c:v>
                </c:pt>
                <c:pt idx="39">
                  <c:v>1.5000450263429546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AD-4D27-896B-F984F8F3B575}"/>
            </c:ext>
          </c:extLst>
        </c:ser>
        <c:ser>
          <c:idx val="1"/>
          <c:order val="1"/>
          <c:tx>
            <c:v>PVTsim 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Calculation'!$S$16:$S$55</c:f>
              <c:numCache>
                <c:formatCode>0.000000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2.0115326737256582</c:v>
                </c:pt>
                <c:pt idx="21">
                  <c:v>2.01139906897038</c:v>
                </c:pt>
                <c:pt idx="22">
                  <c:v>2.0111040510915226</c:v>
                </c:pt>
                <c:pt idx="23">
                  <c:v>2.0102778240400117</c:v>
                </c:pt>
                <c:pt idx="24">
                  <c:v>2.0097817435972019</c:v>
                </c:pt>
                <c:pt idx="25">
                  <c:v>2.0078343496977471</c:v>
                </c:pt>
                <c:pt idx="26">
                  <c:v>2.0063622599158757</c:v>
                </c:pt>
                <c:pt idx="27">
                  <c:v>2.0020414398067468</c:v>
                </c:pt>
                <c:pt idx="28">
                  <c:v>1.9938465890685613</c:v>
                </c:pt>
                <c:pt idx="29">
                  <c:v>1.9775137137779255</c:v>
                </c:pt>
                <c:pt idx="30">
                  <c:v>1.9484780137930287</c:v>
                </c:pt>
                <c:pt idx="31">
                  <c:v>1.8994534250558652</c:v>
                </c:pt>
                <c:pt idx="32">
                  <c:v>1.8262587289730097</c:v>
                </c:pt>
                <c:pt idx="33">
                  <c:v>1.7507420066422137</c:v>
                </c:pt>
                <c:pt idx="34">
                  <c:v>1.6823733063921877</c:v>
                </c:pt>
                <c:pt idx="35">
                  <c:v>1.6337171709742262</c:v>
                </c:pt>
                <c:pt idx="36">
                  <c:v>1.5885135674900581</c:v>
                </c:pt>
                <c:pt idx="37">
                  <c:v>1.5541686886133397</c:v>
                </c:pt>
                <c:pt idx="38">
                  <c:v>1.5268067259837335</c:v>
                </c:pt>
                <c:pt idx="39">
                  <c:v>1.5000450263429546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AD-4D27-896B-F984F8F3B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Y-Function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Measured vs PVTsim Instantaneous Compressibility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 Inst. Comp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Calculation'!$F$16:$F$55</c:f>
              <c:numCache>
                <c:formatCode>0.000000</c:formatCode>
                <c:ptCount val="40"/>
                <c:pt idx="0">
                  <c:v>7.6804854044954727</c:v>
                </c:pt>
                <c:pt idx="1">
                  <c:v>7.8223487254161288</c:v>
                </c:pt>
                <c:pt idx="2">
                  <c:v>8.1481553154984194</c:v>
                </c:pt>
                <c:pt idx="3">
                  <c:v>8.5164100809755734</c:v>
                </c:pt>
                <c:pt idx="4">
                  <c:v>8.9279778497590865</c:v>
                </c:pt>
                <c:pt idx="5">
                  <c:v>9.3980839084758578</c:v>
                </c:pt>
                <c:pt idx="6">
                  <c:v>9.6773324417836655</c:v>
                </c:pt>
                <c:pt idx="7">
                  <c:v>10.236258215289961</c:v>
                </c:pt>
                <c:pt idx="8">
                  <c:v>10.62310251989024</c:v>
                </c:pt>
                <c:pt idx="9">
                  <c:v>11.298114119058045</c:v>
                </c:pt>
                <c:pt idx="10">
                  <c:v>12.186544319789581</c:v>
                </c:pt>
                <c:pt idx="11">
                  <c:v>13.279018720195429</c:v>
                </c:pt>
                <c:pt idx="12">
                  <c:v>14.172775770578308</c:v>
                </c:pt>
                <c:pt idx="13">
                  <c:v>14.944624483881903</c:v>
                </c:pt>
                <c:pt idx="14">
                  <c:v>15.328290438628578</c:v>
                </c:pt>
                <c:pt idx="15">
                  <c:v>15.415463045523387</c:v>
                </c:pt>
                <c:pt idx="16">
                  <c:v>15.461318054693082</c:v>
                </c:pt>
                <c:pt idx="17">
                  <c:v>15.492725853315763</c:v>
                </c:pt>
                <c:pt idx="18">
                  <c:v>15.492188923267747</c:v>
                </c:pt>
                <c:pt idx="19">
                  <c:v>85.166679743004252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23-4FDA-A62C-EA3339A2B5D4}"/>
            </c:ext>
          </c:extLst>
        </c:ser>
        <c:ser>
          <c:idx val="1"/>
          <c:order val="1"/>
          <c:tx>
            <c:v>PVTsim Inst. Comp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'CCE Calculation'!$P$16:$P$55</c:f>
              <c:numCache>
                <c:formatCode>0.00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Calculation'!$T$16:$T$55</c:f>
              <c:numCache>
                <c:formatCode>0.000000</c:formatCode>
                <c:ptCount val="40"/>
                <c:pt idx="0">
                  <c:v>7.6804854044954727</c:v>
                </c:pt>
                <c:pt idx="1">
                  <c:v>7.8223487254161288</c:v>
                </c:pt>
                <c:pt idx="2">
                  <c:v>8.1481553154984194</c:v>
                </c:pt>
                <c:pt idx="3">
                  <c:v>8.5164100809755734</c:v>
                </c:pt>
                <c:pt idx="4">
                  <c:v>8.9279778497590865</c:v>
                </c:pt>
                <c:pt idx="5">
                  <c:v>9.3980839084758578</c:v>
                </c:pt>
                <c:pt idx="6">
                  <c:v>9.6773324417836655</c:v>
                </c:pt>
                <c:pt idx="7">
                  <c:v>10.236258215289961</c:v>
                </c:pt>
                <c:pt idx="8">
                  <c:v>10.62310251989024</c:v>
                </c:pt>
                <c:pt idx="9">
                  <c:v>11.298114119058045</c:v>
                </c:pt>
                <c:pt idx="10">
                  <c:v>12.186544319789581</c:v>
                </c:pt>
                <c:pt idx="11">
                  <c:v>13.279018720195429</c:v>
                </c:pt>
                <c:pt idx="12">
                  <c:v>14.172775770578308</c:v>
                </c:pt>
                <c:pt idx="13">
                  <c:v>14.944624483881903</c:v>
                </c:pt>
                <c:pt idx="14">
                  <c:v>15.328290438628578</c:v>
                </c:pt>
                <c:pt idx="15">
                  <c:v>15.415463045523387</c:v>
                </c:pt>
                <c:pt idx="16">
                  <c:v>15.461318054693082</c:v>
                </c:pt>
                <c:pt idx="17">
                  <c:v>15.492725853315763</c:v>
                </c:pt>
                <c:pt idx="18">
                  <c:v>15.492188923267747</c:v>
                </c:pt>
                <c:pt idx="19">
                  <c:v>85.166679743004252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23-4FDA-A62C-EA3339A2B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Inst. Compressibility (×10⁻⁶ psi⁻¹)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Relative Volume v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Calculation'!$D$16:$D$55</c:f>
              <c:numCache>
                <c:formatCode>0.000000</c:formatCode>
                <c:ptCount val="40"/>
                <c:pt idx="0">
                  <c:v>0.94088229029999992</c:v>
                </c:pt>
                <c:pt idx="1">
                  <c:v>0.94441420350000005</c:v>
                </c:pt>
                <c:pt idx="2">
                  <c:v>0.94816077050000003</c:v>
                </c:pt>
                <c:pt idx="3">
                  <c:v>0.95210020949999996</c:v>
                </c:pt>
                <c:pt idx="4">
                  <c:v>0.95629187869999999</c:v>
                </c:pt>
                <c:pt idx="5">
                  <c:v>0.96066681639999996</c:v>
                </c:pt>
                <c:pt idx="6">
                  <c:v>0.96529542280000002</c:v>
                </c:pt>
                <c:pt idx="7">
                  <c:v>0.96616910970000003</c:v>
                </c:pt>
                <c:pt idx="8">
                  <c:v>0.97021045920000004</c:v>
                </c:pt>
                <c:pt idx="9">
                  <c:v>0.9755227231000001</c:v>
                </c:pt>
                <c:pt idx="10">
                  <c:v>0.98126455309999994</c:v>
                </c:pt>
                <c:pt idx="11">
                  <c:v>0.98748085139999997</c:v>
                </c:pt>
                <c:pt idx="12">
                  <c:v>0.99439123460000001</c:v>
                </c:pt>
                <c:pt idx="13">
                  <c:v>0.99785537860000006</c:v>
                </c:pt>
                <c:pt idx="14">
                  <c:v>0.99854667850000001</c:v>
                </c:pt>
                <c:pt idx="15">
                  <c:v>0.99886205970000008</c:v>
                </c:pt>
                <c:pt idx="16">
                  <c:v>0.99916086770000012</c:v>
                </c:pt>
                <c:pt idx="17">
                  <c:v>0.99946202240000004</c:v>
                </c:pt>
                <c:pt idx="18">
                  <c:v>0.99970439769999997</c:v>
                </c:pt>
                <c:pt idx="19">
                  <c:v>1</c:v>
                </c:pt>
                <c:pt idx="20">
                  <c:v>1.0016583086999999</c:v>
                </c:pt>
                <c:pt idx="21">
                  <c:v>1.0018065658999999</c:v>
                </c:pt>
                <c:pt idx="22">
                  <c:v>1.0021340235</c:v>
                </c:pt>
                <c:pt idx="23">
                  <c:v>1.0030535297000001</c:v>
                </c:pt>
                <c:pt idx="24">
                  <c:v>1.0036072119999999</c:v>
                </c:pt>
                <c:pt idx="25">
                  <c:v>1.0057921268000001</c:v>
                </c:pt>
                <c:pt idx="26">
                  <c:v>1.0074560678</c:v>
                </c:pt>
                <c:pt idx="27">
                  <c:v>1.0124017057999999</c:v>
                </c:pt>
                <c:pt idx="28">
                  <c:v>1.0220405460999999</c:v>
                </c:pt>
                <c:pt idx="29">
                  <c:v>1.0423127391</c:v>
                </c:pt>
                <c:pt idx="30">
                  <c:v>1.0821733195999999</c:v>
                </c:pt>
                <c:pt idx="31">
                  <c:v>1.1625714743</c:v>
                </c:pt>
                <c:pt idx="32">
                  <c:v>1.3230581577999998</c:v>
                </c:pt>
                <c:pt idx="33">
                  <c:v>1.5633538735999999</c:v>
                </c:pt>
                <c:pt idx="34">
                  <c:v>1.8839575353</c:v>
                </c:pt>
                <c:pt idx="35">
                  <c:v>2.2042188615000002</c:v>
                </c:pt>
                <c:pt idx="36">
                  <c:v>2.6040870006999999</c:v>
                </c:pt>
                <c:pt idx="37">
                  <c:v>3.0007323351999999</c:v>
                </c:pt>
                <c:pt idx="38">
                  <c:v>3.3945179985</c:v>
                </c:pt>
                <c:pt idx="39">
                  <c:v>3.8670289135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D0-47A0-80B5-7F74E5B6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Relative Volume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Density v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Calculation'!$E$16:$E$55</c:f>
              <c:numCache>
                <c:formatCode>0.000000</c:formatCode>
                <c:ptCount val="40"/>
                <c:pt idx="0">
                  <c:v>0.72867999999999999</c:v>
                </c:pt>
                <c:pt idx="1">
                  <c:v>0.72595488796648944</c:v>
                </c:pt>
                <c:pt idx="2">
                  <c:v>0.72308634635269786</c:v>
                </c:pt>
                <c:pt idx="3">
                  <c:v>0.72009448213003879</c:v>
                </c:pt>
                <c:pt idx="4">
                  <c:v>0.71693812586573824</c:v>
                </c:pt>
                <c:pt idx="5">
                  <c:v>0.71367314410320448</c:v>
                </c:pt>
                <c:pt idx="6">
                  <c:v>0.71025107039987911</c:v>
                </c:pt>
                <c:pt idx="7">
                  <c:v>0.70960880493135048</c:v>
                </c:pt>
                <c:pt idx="8">
                  <c:v>0.70665297492373591</c:v>
                </c:pt>
                <c:pt idx="9">
                  <c:v>0.70280485637188317</c:v>
                </c:pt>
                <c:pt idx="10">
                  <c:v>0.69869242206890836</c:v>
                </c:pt>
                <c:pt idx="11">
                  <c:v>0.69429407803077114</c:v>
                </c:pt>
                <c:pt idx="12">
                  <c:v>0.68946917816667153</c:v>
                </c:pt>
                <c:pt idx="13">
                  <c:v>0.68707562438327463</c:v>
                </c:pt>
                <c:pt idx="14">
                  <c:v>0.68659995777633931</c:v>
                </c:pt>
                <c:pt idx="15">
                  <c:v>0.68638317036660579</c:v>
                </c:pt>
                <c:pt idx="16">
                  <c:v>0.68617790133636136</c:v>
                </c:pt>
                <c:pt idx="17">
                  <c:v>0.68597114440574047</c:v>
                </c:pt>
                <c:pt idx="18">
                  <c:v>0.68580483278172533</c:v>
                </c:pt>
                <c:pt idx="19">
                  <c:v>0.68560210729580395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0-4BDB-90EA-C23F705A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Density (g/cm³)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Y-Function v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Calculation'!$G$16:$G$55</c:f>
              <c:numCache>
                <c:formatCode>0.000000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2.0115326737256582</c:v>
                </c:pt>
                <c:pt idx="21">
                  <c:v>2.01139906897038</c:v>
                </c:pt>
                <c:pt idx="22">
                  <c:v>2.0111040510915226</c:v>
                </c:pt>
                <c:pt idx="23">
                  <c:v>2.0102778240400117</c:v>
                </c:pt>
                <c:pt idx="24">
                  <c:v>2.0097817435972019</c:v>
                </c:pt>
                <c:pt idx="25">
                  <c:v>2.0078343496977471</c:v>
                </c:pt>
                <c:pt idx="26">
                  <c:v>2.0063622599158757</c:v>
                </c:pt>
                <c:pt idx="27">
                  <c:v>2.0020414398067468</c:v>
                </c:pt>
                <c:pt idx="28">
                  <c:v>1.9938465890685613</c:v>
                </c:pt>
                <c:pt idx="29">
                  <c:v>1.9775137137779255</c:v>
                </c:pt>
                <c:pt idx="30">
                  <c:v>1.9484780137930287</c:v>
                </c:pt>
                <c:pt idx="31">
                  <c:v>1.8994534250558652</c:v>
                </c:pt>
                <c:pt idx="32">
                  <c:v>1.8262587289730097</c:v>
                </c:pt>
                <c:pt idx="33">
                  <c:v>1.7507420066422137</c:v>
                </c:pt>
                <c:pt idx="34">
                  <c:v>1.6823733063921877</c:v>
                </c:pt>
                <c:pt idx="35">
                  <c:v>1.6337171709742262</c:v>
                </c:pt>
                <c:pt idx="36">
                  <c:v>1.5885135674900581</c:v>
                </c:pt>
                <c:pt idx="37">
                  <c:v>1.5541686886133397</c:v>
                </c:pt>
                <c:pt idx="38">
                  <c:v>1.5268067259837335</c:v>
                </c:pt>
                <c:pt idx="39">
                  <c:v>1.5000450263429546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1D-46E9-BCB3-66A6AC9B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Y-Function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Instantaneous Compressibility v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'CCE Calculation'!$B$16:$B$55</c:f>
              <c:numCache>
                <c:formatCode>0.0000</c:formatCode>
                <c:ptCount val="40"/>
                <c:pt idx="0">
                  <c:v>7014.73</c:v>
                </c:pt>
                <c:pt idx="1">
                  <c:v>6525.9808000000003</c:v>
                </c:pt>
                <c:pt idx="2">
                  <c:v>6029.4922999999999</c:v>
                </c:pt>
                <c:pt idx="3">
                  <c:v>5531.1265999999996</c:v>
                </c:pt>
                <c:pt idx="4">
                  <c:v>5026.7011000000002</c:v>
                </c:pt>
                <c:pt idx="5">
                  <c:v>4527.7470000000003</c:v>
                </c:pt>
                <c:pt idx="6">
                  <c:v>4029.4571999999998</c:v>
                </c:pt>
                <c:pt idx="7">
                  <c:v>3938.73</c:v>
                </c:pt>
                <c:pt idx="8">
                  <c:v>3532.4847</c:v>
                </c:pt>
                <c:pt idx="9">
                  <c:v>3031.1977000000002</c:v>
                </c:pt>
                <c:pt idx="10">
                  <c:v>2529.5335</c:v>
                </c:pt>
                <c:pt idx="11">
                  <c:v>2031.2057</c:v>
                </c:pt>
                <c:pt idx="12">
                  <c:v>1528.4730999999999</c:v>
                </c:pt>
                <c:pt idx="13">
                  <c:v>1295.0730000000001</c:v>
                </c:pt>
                <c:pt idx="14">
                  <c:v>1249.8194000000001</c:v>
                </c:pt>
                <c:pt idx="15">
                  <c:v>1229.3027</c:v>
                </c:pt>
                <c:pt idx="16">
                  <c:v>1209.9315999999999</c:v>
                </c:pt>
                <c:pt idx="17">
                  <c:v>1190.4659999999999</c:v>
                </c:pt>
                <c:pt idx="18">
                  <c:v>1174.8298</c:v>
                </c:pt>
                <c:pt idx="19">
                  <c:v>1155.73</c:v>
                </c:pt>
                <c:pt idx="20">
                  <c:v>1151.8876</c:v>
                </c:pt>
                <c:pt idx="21">
                  <c:v>1151.5455999999999</c:v>
                </c:pt>
                <c:pt idx="22">
                  <c:v>1150.7910999999999</c:v>
                </c:pt>
                <c:pt idx="23">
                  <c:v>1148.6789000000001</c:v>
                </c:pt>
                <c:pt idx="24">
                  <c:v>1147.4115999999999</c:v>
                </c:pt>
                <c:pt idx="25">
                  <c:v>1142.4438</c:v>
                </c:pt>
                <c:pt idx="26">
                  <c:v>1138.6956</c:v>
                </c:pt>
                <c:pt idx="27">
                  <c:v>1127.7299</c:v>
                </c:pt>
                <c:pt idx="28">
                  <c:v>1107.0789</c:v>
                </c:pt>
                <c:pt idx="29">
                  <c:v>1066.4922999999999</c:v>
                </c:pt>
                <c:pt idx="30">
                  <c:v>996.22199999999998</c:v>
                </c:pt>
                <c:pt idx="31">
                  <c:v>883.04759999999999</c:v>
                </c:pt>
                <c:pt idx="32">
                  <c:v>726.87980000000005</c:v>
                </c:pt>
                <c:pt idx="33">
                  <c:v>581.85440000000006</c:v>
                </c:pt>
                <c:pt idx="34">
                  <c:v>464.68110000000001</c:v>
                </c:pt>
                <c:pt idx="35">
                  <c:v>389.48180000000002</c:v>
                </c:pt>
                <c:pt idx="36">
                  <c:v>325.73079999999999</c:v>
                </c:pt>
                <c:pt idx="37">
                  <c:v>281.23540000000003</c:v>
                </c:pt>
                <c:pt idx="38">
                  <c:v>248.22559999999999</c:v>
                </c:pt>
                <c:pt idx="39">
                  <c:v>218.03460000000001</c:v>
                </c:pt>
              </c:numCache>
            </c:numRef>
          </c:xVal>
          <c:yVal>
            <c:numRef>
              <c:f>'CCE Calculation'!$F$16:$F$55</c:f>
              <c:numCache>
                <c:formatCode>0.000000</c:formatCode>
                <c:ptCount val="40"/>
                <c:pt idx="0">
                  <c:v>7.6804854044954727</c:v>
                </c:pt>
                <c:pt idx="1">
                  <c:v>7.8223487254161288</c:v>
                </c:pt>
                <c:pt idx="2">
                  <c:v>8.1481553154984194</c:v>
                </c:pt>
                <c:pt idx="3">
                  <c:v>8.5164100809755734</c:v>
                </c:pt>
                <c:pt idx="4">
                  <c:v>8.9279778497590865</c:v>
                </c:pt>
                <c:pt idx="5">
                  <c:v>9.3980839084758578</c:v>
                </c:pt>
                <c:pt idx="6">
                  <c:v>9.6773324417836655</c:v>
                </c:pt>
                <c:pt idx="7">
                  <c:v>10.236258215289961</c:v>
                </c:pt>
                <c:pt idx="8">
                  <c:v>10.62310251989024</c:v>
                </c:pt>
                <c:pt idx="9">
                  <c:v>11.298114119058045</c:v>
                </c:pt>
                <c:pt idx="10">
                  <c:v>12.186544319789581</c:v>
                </c:pt>
                <c:pt idx="11">
                  <c:v>13.279018720195429</c:v>
                </c:pt>
                <c:pt idx="12">
                  <c:v>14.172775770578308</c:v>
                </c:pt>
                <c:pt idx="13">
                  <c:v>14.944624483881903</c:v>
                </c:pt>
                <c:pt idx="14">
                  <c:v>15.328290438628578</c:v>
                </c:pt>
                <c:pt idx="15">
                  <c:v>15.415463045523387</c:v>
                </c:pt>
                <c:pt idx="16">
                  <c:v>15.461318054693082</c:v>
                </c:pt>
                <c:pt idx="17">
                  <c:v>15.492725853315763</c:v>
                </c:pt>
                <c:pt idx="18">
                  <c:v>15.492188923267747</c:v>
                </c:pt>
                <c:pt idx="19">
                  <c:v>85.166679743004252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9B-4703-B248-4AF446F9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Pressure (psig)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Inst. Compressibility (×10⁻⁶ psi⁻¹)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923925</xdr:colOff>
      <xdr:row>34</xdr:row>
      <xdr:rowOff>176212</xdr:rowOff>
    </xdr:from>
    <xdr:to>
      <xdr:col>12</xdr:col>
      <xdr:colOff>409575</xdr:colOff>
      <xdr:row>49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762000</xdr:colOff>
      <xdr:row>37</xdr:row>
      <xdr:rowOff>76200</xdr:rowOff>
    </xdr:from>
    <xdr:to>
      <xdr:col>33</xdr:col>
      <xdr:colOff>38100</xdr:colOff>
      <xdr:row>51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542925</xdr:colOff>
      <xdr:row>19</xdr:row>
      <xdr:rowOff>9525</xdr:rowOff>
    </xdr:from>
    <xdr:to>
      <xdr:col>38</xdr:col>
      <xdr:colOff>238125</xdr:colOff>
      <xdr:row>33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409575</xdr:colOff>
      <xdr:row>38</xdr:row>
      <xdr:rowOff>57150</xdr:rowOff>
    </xdr:from>
    <xdr:to>
      <xdr:col>38</xdr:col>
      <xdr:colOff>104775</xdr:colOff>
      <xdr:row>52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2880000" cy="18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2880000" cy="187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</xdr:row>
      <xdr:rowOff>0</xdr:rowOff>
    </xdr:from>
    <xdr:ext cx="2880000" cy="187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2880000" cy="187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67</xdr:row>
      <xdr:rowOff>0</xdr:rowOff>
    </xdr:from>
    <xdr:ext cx="252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67</xdr:row>
      <xdr:rowOff>0</xdr:rowOff>
    </xdr:from>
    <xdr:ext cx="252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91</xdr:row>
      <xdr:rowOff>0</xdr:rowOff>
    </xdr:from>
    <xdr:ext cx="2520000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91</xdr:row>
      <xdr:rowOff>0</xdr:rowOff>
    </xdr:from>
    <xdr:ext cx="2520000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5"/>
  <sheetViews>
    <sheetView tabSelected="1" topLeftCell="A3" zoomScale="145" zoomScaleNormal="145" workbookViewId="0">
      <selection activeCell="Q16" sqref="Q16:T33"/>
    </sheetView>
  </sheetViews>
  <sheetFormatPr defaultRowHeight="15" x14ac:dyDescent="0.25"/>
  <cols>
    <col min="1" max="1" width="4.5703125" bestFit="1" customWidth="1"/>
    <col min="2" max="2" width="16.140625" customWidth="1"/>
    <col min="3" max="5" width="14" customWidth="1"/>
    <col min="6" max="6" width="16" customWidth="1"/>
    <col min="7" max="11" width="14" customWidth="1"/>
    <col min="12" max="12" width="12" customWidth="1"/>
    <col min="22" max="22" width="16" customWidth="1"/>
    <col min="23" max="24" width="14" customWidth="1"/>
    <col min="25" max="25" width="18" customWidth="1"/>
    <col min="26" max="26" width="20" customWidth="1"/>
    <col min="27" max="27" width="16" customWidth="1"/>
    <col min="28" max="29" width="14" customWidth="1"/>
    <col min="30" max="31" width="16" customWidth="1"/>
  </cols>
  <sheetData>
    <row r="1" spans="1:37" x14ac:dyDescent="0.2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37" x14ac:dyDescent="0.25">
      <c r="A2" s="2"/>
    </row>
    <row r="4" spans="1:37" x14ac:dyDescent="0.25">
      <c r="B4" s="44" t="s">
        <v>1</v>
      </c>
      <c r="C4" s="45"/>
      <c r="D4" s="45"/>
      <c r="E4" s="46"/>
      <c r="H4" s="44" t="s">
        <v>2</v>
      </c>
      <c r="I4" s="45"/>
      <c r="J4" s="45"/>
      <c r="K4" s="46"/>
      <c r="V4" s="47" t="s">
        <v>3</v>
      </c>
      <c r="W4" s="48"/>
      <c r="X4" s="48"/>
      <c r="Y4" s="48"/>
      <c r="Z4" s="48"/>
      <c r="AA4" s="48"/>
      <c r="AB4" s="48"/>
      <c r="AC4" s="48"/>
      <c r="AD4" s="48"/>
      <c r="AE4" s="48"/>
    </row>
    <row r="5" spans="1:37" ht="25.5" customHeight="1" x14ac:dyDescent="0.25">
      <c r="B5" s="3" t="s">
        <v>4</v>
      </c>
      <c r="D5" s="25">
        <v>3938.73</v>
      </c>
      <c r="E5" s="26" t="s">
        <v>5</v>
      </c>
      <c r="H5" s="1"/>
      <c r="V5" s="27" t="s">
        <v>6</v>
      </c>
      <c r="W5" s="28">
        <v>2</v>
      </c>
      <c r="Z5" s="27" t="s">
        <v>7</v>
      </c>
      <c r="AA5" s="28">
        <f>ROUND(B22,0)</f>
        <v>4029</v>
      </c>
      <c r="AB5" s="29">
        <f>MATCH(AA5,B16:B55,-1)+15</f>
        <v>22</v>
      </c>
    </row>
    <row r="6" spans="1:37" ht="38.25" customHeight="1" x14ac:dyDescent="0.25">
      <c r="B6" s="3" t="s">
        <v>8</v>
      </c>
      <c r="D6" s="4">
        <v>256</v>
      </c>
      <c r="H6" s="3" t="s">
        <v>9</v>
      </c>
      <c r="J6" s="5">
        <f>C16</f>
        <v>94.088229029999994</v>
      </c>
      <c r="V6" s="27" t="s">
        <v>10</v>
      </c>
      <c r="W6" s="30">
        <v>0</v>
      </c>
      <c r="Z6" s="27" t="s">
        <v>11</v>
      </c>
      <c r="AA6" s="28">
        <f>ROUND(B34,0)</f>
        <v>1175</v>
      </c>
      <c r="AB6" s="29">
        <f>MATCH(AA6,B16:B55,-1)+15</f>
        <v>33</v>
      </c>
    </row>
    <row r="7" spans="1:37" ht="25.5" customHeight="1" x14ac:dyDescent="0.25">
      <c r="B7" s="3" t="s">
        <v>12</v>
      </c>
      <c r="D7" s="6">
        <v>7014.73</v>
      </c>
      <c r="H7" s="3" t="s">
        <v>13</v>
      </c>
      <c r="J7" s="5">
        <f>D8*J6</f>
        <v>68.56021072958039</v>
      </c>
      <c r="V7" s="27" t="s">
        <v>14</v>
      </c>
      <c r="W7" s="30">
        <v>0</v>
      </c>
      <c r="Z7" s="27" t="s">
        <v>15</v>
      </c>
      <c r="AA7" s="31">
        <f>IF(OR(AA5="",AA6="",AB5="",AB6="",AB5=AB6),"",((INDEX(D:D,AB6)-INDEX(D:D,AB5))/((INDEX(D:D,AB5)+INDEX(D:D,AB6))/2)*1/(INDEX(B:B,AB5)-INDEX(B:B,AB6))*1000000))</f>
        <v>12.250639621082708</v>
      </c>
    </row>
    <row r="8" spans="1:37" ht="25.5" customHeight="1" x14ac:dyDescent="0.25">
      <c r="B8" s="3" t="s">
        <v>16</v>
      </c>
      <c r="D8" s="6">
        <v>0.72867999999999999</v>
      </c>
      <c r="H8" s="3" t="s">
        <v>17</v>
      </c>
      <c r="J8" s="5">
        <f>INDEX(C16:C55,$D$10)</f>
        <v>100</v>
      </c>
      <c r="V8" s="27" t="s">
        <v>18</v>
      </c>
      <c r="W8" s="30">
        <v>0</v>
      </c>
      <c r="Z8" s="27" t="s">
        <v>4</v>
      </c>
      <c r="AA8" s="25">
        <f>D5</f>
        <v>3938.73</v>
      </c>
    </row>
    <row r="9" spans="1:37" ht="25.5" customHeight="1" x14ac:dyDescent="0.25">
      <c r="B9" s="3" t="s">
        <v>19</v>
      </c>
      <c r="D9" s="6">
        <v>1155.73</v>
      </c>
      <c r="H9" s="3" t="s">
        <v>20</v>
      </c>
      <c r="J9" s="5">
        <f>INDEX(B16:B55,$D$10)</f>
        <v>1155.73</v>
      </c>
    </row>
    <row r="10" spans="1:37" ht="25.5" customHeight="1" x14ac:dyDescent="0.25">
      <c r="B10" s="3" t="s">
        <v>21</v>
      </c>
      <c r="D10" s="4">
        <v>20</v>
      </c>
      <c r="H10" s="3" t="s">
        <v>22</v>
      </c>
      <c r="J10" s="5">
        <f>J7/J8</f>
        <v>0.68560210729580395</v>
      </c>
      <c r="V10" s="27" t="s">
        <v>23</v>
      </c>
      <c r="W10" s="49" t="s">
        <v>24</v>
      </c>
      <c r="X10" s="48"/>
      <c r="Y10" s="48"/>
      <c r="Z10" s="48"/>
      <c r="AA10" s="48"/>
      <c r="AB10" s="48"/>
      <c r="AC10" s="48"/>
      <c r="AD10" s="48"/>
      <c r="AE10" s="48"/>
    </row>
    <row r="11" spans="1:37" ht="25.5" customHeight="1" x14ac:dyDescent="0.25">
      <c r="H11" s="3" t="s">
        <v>25</v>
      </c>
      <c r="J11" s="5">
        <f>ABS(D9-J9)</f>
        <v>0</v>
      </c>
      <c r="K11" s="7" t="str">
        <f>IF(J11&lt;10,"✓ OK","⚠ CHECK")</f>
        <v>✓ OK</v>
      </c>
      <c r="W11" s="48"/>
      <c r="X11" s="48"/>
      <c r="Y11" s="48"/>
      <c r="Z11" s="48"/>
      <c r="AA11" s="48"/>
      <c r="AB11" s="48"/>
      <c r="AC11" s="48"/>
      <c r="AD11" s="48"/>
      <c r="AE11" s="48"/>
    </row>
    <row r="14" spans="1:37" x14ac:dyDescent="0.25">
      <c r="A14" s="44" t="s">
        <v>26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6"/>
      <c r="O14" s="44" t="s">
        <v>27</v>
      </c>
      <c r="P14" s="45"/>
      <c r="Q14" s="45"/>
      <c r="R14" s="45"/>
      <c r="S14" s="45"/>
      <c r="T14" s="46"/>
      <c r="V14" s="44" t="s">
        <v>28</v>
      </c>
      <c r="W14" s="45"/>
      <c r="X14" s="45"/>
      <c r="Y14" s="45"/>
      <c r="Z14" s="45"/>
      <c r="AA14" s="46"/>
      <c r="AF14" s="44" t="s">
        <v>28</v>
      </c>
      <c r="AG14" s="45"/>
      <c r="AH14" s="45"/>
      <c r="AI14" s="45"/>
      <c r="AJ14" s="45"/>
      <c r="AK14" s="46"/>
    </row>
    <row r="15" spans="1:37" ht="38.25" customHeight="1" x14ac:dyDescent="0.2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 t="s">
        <v>40</v>
      </c>
      <c r="O15" s="24" t="s">
        <v>29</v>
      </c>
      <c r="P15" s="24" t="s">
        <v>41</v>
      </c>
      <c r="Q15" s="24" t="s">
        <v>42</v>
      </c>
      <c r="R15" s="24" t="s">
        <v>43</v>
      </c>
      <c r="S15" s="24" t="s">
        <v>44</v>
      </c>
      <c r="T15" s="24" t="s">
        <v>45</v>
      </c>
      <c r="U15" s="24" t="s">
        <v>46</v>
      </c>
      <c r="V15" s="24" t="s">
        <v>47</v>
      </c>
      <c r="W15" s="24" t="s">
        <v>48</v>
      </c>
      <c r="X15" s="24" t="s">
        <v>49</v>
      </c>
      <c r="Y15" s="24" t="s">
        <v>50</v>
      </c>
    </row>
    <row r="16" spans="1:37" x14ac:dyDescent="0.25">
      <c r="A16" s="8">
        <v>1</v>
      </c>
      <c r="B16" s="6">
        <v>7014.73</v>
      </c>
      <c r="C16" s="9">
        <v>94.088229029999994</v>
      </c>
      <c r="D16" s="10">
        <f t="shared" ref="D16:D55" si="0">C16/$J$8</f>
        <v>0.94088229029999992</v>
      </c>
      <c r="E16" s="10">
        <f>IF(A16&lt;=$D$10,$J$7/C16,"")</f>
        <v>0.72867999999999999</v>
      </c>
      <c r="F16" s="10">
        <f>IF(A16&lt;=$D$10,(C17-C16)/C16/(B16-B17)*1000000,"")</f>
        <v>7.6804854044954727</v>
      </c>
      <c r="G16" s="10" t="str">
        <f t="shared" ref="G16:G55" si="1">IF(A16&gt;$D$10,($J$9-B16)/(B16*(D16-1)),"")</f>
        <v/>
      </c>
      <c r="H16" s="11" t="str">
        <f t="shared" ref="H16:H55" si="2">IF(A16&lt;$D$10,"Single Phase",IF(A16=$D$10,"Bubble Point","Two Phase"))</f>
        <v>Single Phase</v>
      </c>
      <c r="I16" s="12">
        <f>IF(A16&lt;=$D$10,'QC Protocol'!$C$7+'QC Protocol'!$C$8*B16+'QC Protocol'!$C$9*B16^2+'QC Protocol'!$C$10*B16^3,'QC Protocol'!$C$18+'QC Protocol'!$C$19*B16+'QC Protocol'!$C$20*B16^2)</f>
        <v>0.94080050587392883</v>
      </c>
      <c r="J16" s="12">
        <f t="shared" ref="J16:J55" si="3">IF(A16&lt;=$D$10,D16-I16,IF(A16&gt;$D$10,G16-I16,""))</f>
        <v>8.1784426071096483E-5</v>
      </c>
      <c r="K16" s="13">
        <f t="shared" ref="K16:K55" si="4">IF(OR(J16="",J16=0),"",IF(A16&lt;=$D$10,ABS(J16/D16)*100,ABS(J16/G16)*100))</f>
        <v>8.6923121961430001E-3</v>
      </c>
      <c r="L16" s="8" t="str">
        <f>IF(K16="","",IF(A16&lt;=$D$10,IF(K16&lt;'QC Protocol'!$C$26,"PASS",IF(K16&lt;'QC Protocol'!$C$27,"WARN","FAIL")),IF(K16&lt;'QC Protocol'!$C$28,"PASS",IF(K16&lt;'QC Protocol'!$C$29,"WARN","FAIL"))))</f>
        <v>PASS</v>
      </c>
      <c r="O16" s="29">
        <f t="shared" ref="O16:O55" si="5">A16</f>
        <v>1</v>
      </c>
      <c r="P16" s="32">
        <f t="shared" ref="P16:P55" si="6">B16</f>
        <v>7014.73</v>
      </c>
      <c r="Q16" s="33">
        <f t="shared" ref="Q16:Q55" si="7">D16</f>
        <v>0.94088229029999992</v>
      </c>
      <c r="R16" s="33">
        <f t="shared" ref="R16:R55" si="8">E16</f>
        <v>0.72867999999999999</v>
      </c>
      <c r="S16" s="33" t="str">
        <f t="shared" ref="S16:S55" si="9">G16</f>
        <v/>
      </c>
      <c r="T16" s="33">
        <f t="shared" ref="T16:T55" si="10">F16</f>
        <v>7.6804854044954727</v>
      </c>
      <c r="U16" s="34">
        <f t="shared" ref="U16:U55" si="11">D16</f>
        <v>0.94088229029999992</v>
      </c>
      <c r="V16" s="34">
        <f t="shared" ref="V16:V55" si="12">IF(Q16="","",Q16*(1+$W$5/100))</f>
        <v>0.95969993610599991</v>
      </c>
      <c r="W16" s="34">
        <f t="shared" ref="W16:W55" si="13">IF(Q16="","",Q16*(1-$W$5/100))</f>
        <v>0.92206464449399994</v>
      </c>
      <c r="X16" s="35" t="str">
        <f t="shared" ref="X16:X55" si="14">IF(OR(U16="",V16="",W16=""),"",IF(OR(U16&gt;V16,U16&lt;W16),"OUT","OK"))</f>
        <v>OK</v>
      </c>
      <c r="Y16" s="33" t="str">
        <f t="shared" ref="Y16:Y55" si="15">IF(X16&lt;&gt;"OUT","",($W$6+$W$7*(P16/$D$7)+$W$8*(P16/$D$7)^2))</f>
        <v/>
      </c>
    </row>
    <row r="17" spans="1:32" x14ac:dyDescent="0.25">
      <c r="A17" s="8">
        <v>2</v>
      </c>
      <c r="B17" s="6">
        <v>6525.9808000000003</v>
      </c>
      <c r="C17" s="9">
        <v>94.441420350000001</v>
      </c>
      <c r="D17" s="10">
        <f t="shared" si="0"/>
        <v>0.94441420350000005</v>
      </c>
      <c r="E17" s="10">
        <f t="shared" ref="E16:E55" si="16">IF(A17&lt;=$D$10,$J$7/C17,"")</f>
        <v>0.72595488796648944</v>
      </c>
      <c r="F17" s="10">
        <f t="shared" ref="F17:F54" si="17">IF(A17&lt;=$D$10,(C18-C16)/C17/(B16-B18)*1000000,"")</f>
        <v>7.8223487254161288</v>
      </c>
      <c r="G17" s="10" t="str">
        <f t="shared" si="1"/>
        <v/>
      </c>
      <c r="H17" s="11" t="str">
        <f t="shared" si="2"/>
        <v>Single Phase</v>
      </c>
      <c r="I17" s="12">
        <f>IF(A17&lt;=$D$10,'QC Protocol'!$C$7+'QC Protocol'!$C$8*B17+'QC Protocol'!$C$9*B17^2+'QC Protocol'!$C$10*B17^3,'QC Protocol'!$C$18+'QC Protocol'!$C$19*B17+'QC Protocol'!$C$20*B17^2)</f>
        <v>0.94445797249912633</v>
      </c>
      <c r="J17" s="12">
        <f t="shared" si="3"/>
        <v>-4.3768999126281294E-5</v>
      </c>
      <c r="K17" s="13">
        <f t="shared" si="4"/>
        <v>4.6345130096596739E-3</v>
      </c>
      <c r="L17" s="8" t="str">
        <f>IF(K17="","",IF(A17&lt;=$D$10,IF(K17&lt;'QC Protocol'!$C$26,"PASS",IF(K17&lt;'QC Protocol'!$C$27,"WARN","FAIL")),IF(K17&lt;'QC Protocol'!$C$28,"PASS",IF(K17&lt;'QC Protocol'!$C$29,"WARN","FAIL"))))</f>
        <v>PASS</v>
      </c>
      <c r="O17" s="29">
        <f t="shared" si="5"/>
        <v>2</v>
      </c>
      <c r="P17" s="32">
        <f t="shared" si="6"/>
        <v>6525.9808000000003</v>
      </c>
      <c r="Q17" s="33">
        <f t="shared" si="7"/>
        <v>0.94441420350000005</v>
      </c>
      <c r="R17" s="33">
        <f t="shared" si="8"/>
        <v>0.72595488796648944</v>
      </c>
      <c r="S17" s="33" t="str">
        <f t="shared" si="9"/>
        <v/>
      </c>
      <c r="T17" s="33">
        <f t="shared" si="10"/>
        <v>7.8223487254161288</v>
      </c>
      <c r="U17" s="34">
        <f t="shared" si="11"/>
        <v>0.94441420350000005</v>
      </c>
      <c r="V17" s="34">
        <f t="shared" si="12"/>
        <v>0.96330248757000003</v>
      </c>
      <c r="W17" s="34">
        <f t="shared" si="13"/>
        <v>0.92552591943000007</v>
      </c>
      <c r="X17" s="35" t="str">
        <f t="shared" si="14"/>
        <v>OK</v>
      </c>
      <c r="Y17" s="33" t="str">
        <f t="shared" si="15"/>
        <v/>
      </c>
    </row>
    <row r="18" spans="1:32" x14ac:dyDescent="0.25">
      <c r="A18" s="8">
        <v>3</v>
      </c>
      <c r="B18" s="6">
        <v>6029.4922999999999</v>
      </c>
      <c r="C18" s="9">
        <v>94.816077050000004</v>
      </c>
      <c r="D18" s="10">
        <f t="shared" si="0"/>
        <v>0.94816077050000003</v>
      </c>
      <c r="E18" s="10">
        <f t="shared" si="16"/>
        <v>0.72308634635269786</v>
      </c>
      <c r="F18" s="10">
        <f t="shared" si="17"/>
        <v>8.1481553154984194</v>
      </c>
      <c r="G18" s="10" t="str">
        <f t="shared" si="1"/>
        <v/>
      </c>
      <c r="H18" s="11" t="str">
        <f t="shared" si="2"/>
        <v>Single Phase</v>
      </c>
      <c r="I18" s="12">
        <f>IF(A18&lt;=$D$10,'QC Protocol'!$C$7+'QC Protocol'!$C$8*B18+'QC Protocol'!$C$9*B18^2+'QC Protocol'!$C$10*B18^3,'QC Protocol'!$C$18+'QC Protocol'!$C$19*B18+'QC Protocol'!$C$20*B18^2)</f>
        <v>0.9482404649907118</v>
      </c>
      <c r="J18" s="12">
        <f t="shared" si="3"/>
        <v>-7.969449071176804E-5</v>
      </c>
      <c r="K18" s="13">
        <f t="shared" si="4"/>
        <v>8.4051664223296439E-3</v>
      </c>
      <c r="L18" s="8" t="str">
        <f>IF(K18="","",IF(A18&lt;=$D$10,IF(K18&lt;'QC Protocol'!$C$26,"PASS",IF(K18&lt;'QC Protocol'!$C$27,"WARN","FAIL")),IF(K18&lt;'QC Protocol'!$C$28,"PASS",IF(K18&lt;'QC Protocol'!$C$29,"WARN","FAIL"))))</f>
        <v>PASS</v>
      </c>
      <c r="O18" s="29">
        <f t="shared" si="5"/>
        <v>3</v>
      </c>
      <c r="P18" s="32">
        <f t="shared" si="6"/>
        <v>6029.4922999999999</v>
      </c>
      <c r="Q18" s="33">
        <f t="shared" si="7"/>
        <v>0.94816077050000003</v>
      </c>
      <c r="R18" s="33">
        <f t="shared" si="8"/>
        <v>0.72308634635269786</v>
      </c>
      <c r="S18" s="33" t="str">
        <f t="shared" si="9"/>
        <v/>
      </c>
      <c r="T18" s="33">
        <f t="shared" si="10"/>
        <v>8.1481553154984194</v>
      </c>
      <c r="U18" s="34">
        <f t="shared" si="11"/>
        <v>0.94816077050000003</v>
      </c>
      <c r="V18" s="34">
        <f t="shared" si="12"/>
        <v>0.96712398591000004</v>
      </c>
      <c r="W18" s="34">
        <f t="shared" si="13"/>
        <v>0.92919755509000002</v>
      </c>
      <c r="X18" s="35" t="str">
        <f t="shared" si="14"/>
        <v>OK</v>
      </c>
      <c r="Y18" s="33" t="str">
        <f t="shared" si="15"/>
        <v/>
      </c>
      <c r="AF18" t="s">
        <v>51</v>
      </c>
    </row>
    <row r="19" spans="1:32" x14ac:dyDescent="0.25">
      <c r="A19" s="8">
        <v>4</v>
      </c>
      <c r="B19" s="6">
        <v>5531.1265999999996</v>
      </c>
      <c r="C19" s="9">
        <v>95.210020950000001</v>
      </c>
      <c r="D19" s="10">
        <f t="shared" si="0"/>
        <v>0.95210020949999996</v>
      </c>
      <c r="E19" s="10">
        <f t="shared" si="16"/>
        <v>0.72009448213003879</v>
      </c>
      <c r="F19" s="10">
        <f t="shared" si="17"/>
        <v>8.5164100809755734</v>
      </c>
      <c r="G19" s="10" t="str">
        <f t="shared" si="1"/>
        <v/>
      </c>
      <c r="H19" s="11" t="str">
        <f t="shared" si="2"/>
        <v>Single Phase</v>
      </c>
      <c r="I19" s="12">
        <f>IF(A19&lt;=$D$10,'QC Protocol'!$C$7+'QC Protocol'!$C$8*B19+'QC Protocol'!$C$9*B19^2+'QC Protocol'!$C$10*B19^3,'QC Protocol'!$C$18+'QC Protocol'!$C$19*B19+'QC Protocol'!$C$20*B19^2)</f>
        <v>0.95215803946862387</v>
      </c>
      <c r="J19" s="12">
        <f t="shared" si="3"/>
        <v>-5.7829968623912542E-5</v>
      </c>
      <c r="K19" s="13">
        <f t="shared" si="4"/>
        <v>6.0739371808648402E-3</v>
      </c>
      <c r="L19" s="8" t="str">
        <f>IF(K19="","",IF(A19&lt;=$D$10,IF(K19&lt;'QC Protocol'!$C$26,"PASS",IF(K19&lt;'QC Protocol'!$C$27,"WARN","FAIL")),IF(K19&lt;'QC Protocol'!$C$28,"PASS",IF(K19&lt;'QC Protocol'!$C$29,"WARN","FAIL"))))</f>
        <v>PASS</v>
      </c>
      <c r="O19" s="29">
        <f t="shared" si="5"/>
        <v>4</v>
      </c>
      <c r="P19" s="32">
        <f t="shared" si="6"/>
        <v>5531.1265999999996</v>
      </c>
      <c r="Q19" s="33">
        <f t="shared" si="7"/>
        <v>0.95210020949999996</v>
      </c>
      <c r="R19" s="33">
        <f t="shared" si="8"/>
        <v>0.72009448213003879</v>
      </c>
      <c r="S19" s="33" t="str">
        <f t="shared" si="9"/>
        <v/>
      </c>
      <c r="T19" s="33">
        <f t="shared" si="10"/>
        <v>8.5164100809755734</v>
      </c>
      <c r="U19" s="34">
        <f t="shared" si="11"/>
        <v>0.95210020949999996</v>
      </c>
      <c r="V19" s="34">
        <f t="shared" si="12"/>
        <v>0.97114221368999998</v>
      </c>
      <c r="W19" s="34">
        <f t="shared" si="13"/>
        <v>0.93305820530999994</v>
      </c>
      <c r="X19" s="35" t="str">
        <f t="shared" si="14"/>
        <v>OK</v>
      </c>
      <c r="Y19" s="33" t="str">
        <f t="shared" si="15"/>
        <v/>
      </c>
    </row>
    <row r="20" spans="1:32" x14ac:dyDescent="0.25">
      <c r="A20" s="8">
        <v>5</v>
      </c>
      <c r="B20" s="6">
        <v>5026.7011000000002</v>
      </c>
      <c r="C20" s="9">
        <v>95.629187869999996</v>
      </c>
      <c r="D20" s="10">
        <f t="shared" si="0"/>
        <v>0.95629187869999999</v>
      </c>
      <c r="E20" s="10">
        <f t="shared" si="16"/>
        <v>0.71693812586573824</v>
      </c>
      <c r="F20" s="10">
        <f t="shared" si="17"/>
        <v>8.9279778497590865</v>
      </c>
      <c r="G20" s="10" t="str">
        <f t="shared" si="1"/>
        <v/>
      </c>
      <c r="H20" s="11" t="str">
        <f t="shared" si="2"/>
        <v>Single Phase</v>
      </c>
      <c r="I20" s="12">
        <f>IF(A20&lt;=$D$10,'QC Protocol'!$C$7+'QC Protocol'!$C$8*B20+'QC Protocol'!$C$9*B20^2+'QC Protocol'!$C$10*B20^3,'QC Protocol'!$C$18+'QC Protocol'!$C$19*B20+'QC Protocol'!$C$20*B20^2)</f>
        <v>0.95630086896052302</v>
      </c>
      <c r="J20" s="12">
        <f t="shared" si="3"/>
        <v>-8.9902605230340882E-6</v>
      </c>
      <c r="K20" s="13">
        <f t="shared" si="4"/>
        <v>9.4011679104245936E-4</v>
      </c>
      <c r="L20" s="8" t="str">
        <f>IF(K20="","",IF(A20&lt;=$D$10,IF(K20&lt;'QC Protocol'!$C$26,"PASS",IF(K20&lt;'QC Protocol'!$C$27,"WARN","FAIL")),IF(K20&lt;'QC Protocol'!$C$28,"PASS",IF(K20&lt;'QC Protocol'!$C$29,"WARN","FAIL"))))</f>
        <v>PASS</v>
      </c>
      <c r="O20" s="29">
        <f t="shared" si="5"/>
        <v>5</v>
      </c>
      <c r="P20" s="32">
        <f t="shared" si="6"/>
        <v>5026.7011000000002</v>
      </c>
      <c r="Q20" s="33">
        <f t="shared" si="7"/>
        <v>0.95629187869999999</v>
      </c>
      <c r="R20" s="33">
        <f t="shared" si="8"/>
        <v>0.71693812586573824</v>
      </c>
      <c r="S20" s="33" t="str">
        <f t="shared" si="9"/>
        <v/>
      </c>
      <c r="T20" s="33">
        <f t="shared" si="10"/>
        <v>8.9279778497590865</v>
      </c>
      <c r="U20" s="34">
        <f t="shared" si="11"/>
        <v>0.95629187869999999</v>
      </c>
      <c r="V20" s="34">
        <f t="shared" si="12"/>
        <v>0.97541771627399998</v>
      </c>
      <c r="W20" s="34">
        <f t="shared" si="13"/>
        <v>0.93716604112599999</v>
      </c>
      <c r="X20" s="35" t="str">
        <f t="shared" si="14"/>
        <v>OK</v>
      </c>
      <c r="Y20" s="33" t="str">
        <f t="shared" si="15"/>
        <v/>
      </c>
    </row>
    <row r="21" spans="1:32" x14ac:dyDescent="0.25">
      <c r="A21" s="8">
        <v>6</v>
      </c>
      <c r="B21" s="6">
        <v>4527.7470000000003</v>
      </c>
      <c r="C21" s="9">
        <v>96.066681639999999</v>
      </c>
      <c r="D21" s="10">
        <f t="shared" si="0"/>
        <v>0.96066681639999996</v>
      </c>
      <c r="E21" s="10">
        <f t="shared" si="16"/>
        <v>0.71367314410320448</v>
      </c>
      <c r="F21" s="10">
        <f t="shared" si="17"/>
        <v>9.3980839084758578</v>
      </c>
      <c r="G21" s="10" t="str">
        <f t="shared" si="1"/>
        <v/>
      </c>
      <c r="H21" s="11" t="str">
        <f t="shared" si="2"/>
        <v>Single Phase</v>
      </c>
      <c r="I21" s="12">
        <f>IF(A21&lt;=$D$10,'QC Protocol'!$C$7+'QC Protocol'!$C$8*B21+'QC Protocol'!$C$9*B21^2+'QC Protocol'!$C$10*B21^3,'QC Protocol'!$C$18+'QC Protocol'!$C$19*B21+'QC Protocol'!$C$20*B21^2)</f>
        <v>0.9606284838811745</v>
      </c>
      <c r="J21" s="12">
        <f t="shared" si="3"/>
        <v>3.8332518825456852E-5</v>
      </c>
      <c r="K21" s="13">
        <f t="shared" si="4"/>
        <v>3.9901991170158265E-3</v>
      </c>
      <c r="L21" s="8" t="str">
        <f>IF(K21="","",IF(A21&lt;=$D$10,IF(K21&lt;'QC Protocol'!$C$26,"PASS",IF(K21&lt;'QC Protocol'!$C$27,"WARN","FAIL")),IF(K21&lt;'QC Protocol'!$C$28,"PASS",IF(K21&lt;'QC Protocol'!$C$29,"WARN","FAIL"))))</f>
        <v>PASS</v>
      </c>
      <c r="O21" s="29">
        <f t="shared" si="5"/>
        <v>6</v>
      </c>
      <c r="P21" s="32">
        <f t="shared" si="6"/>
        <v>4527.7470000000003</v>
      </c>
      <c r="Q21" s="33">
        <f t="shared" si="7"/>
        <v>0.96066681639999996</v>
      </c>
      <c r="R21" s="33">
        <f t="shared" si="8"/>
        <v>0.71367314410320448</v>
      </c>
      <c r="S21" s="33" t="str">
        <f t="shared" si="9"/>
        <v/>
      </c>
      <c r="T21" s="33">
        <f t="shared" si="10"/>
        <v>9.3980839084758578</v>
      </c>
      <c r="U21" s="34">
        <f t="shared" si="11"/>
        <v>0.96066681639999996</v>
      </c>
      <c r="V21" s="34">
        <f t="shared" si="12"/>
        <v>0.979880152728</v>
      </c>
      <c r="W21" s="34">
        <f t="shared" si="13"/>
        <v>0.94145348007199992</v>
      </c>
      <c r="X21" s="35" t="str">
        <f t="shared" si="14"/>
        <v>OK</v>
      </c>
      <c r="Y21" s="33" t="str">
        <f t="shared" si="15"/>
        <v/>
      </c>
    </row>
    <row r="22" spans="1:32" x14ac:dyDescent="0.25">
      <c r="A22" s="8">
        <v>7</v>
      </c>
      <c r="B22" s="6">
        <v>4029.4571999999998</v>
      </c>
      <c r="C22" s="9">
        <v>96.529542280000001</v>
      </c>
      <c r="D22" s="10">
        <f t="shared" si="0"/>
        <v>0.96529542280000002</v>
      </c>
      <c r="E22" s="10">
        <f t="shared" si="16"/>
        <v>0.71025107039987911</v>
      </c>
      <c r="F22" s="10">
        <f t="shared" si="17"/>
        <v>9.6773324417836655</v>
      </c>
      <c r="G22" s="10" t="str">
        <f t="shared" si="1"/>
        <v/>
      </c>
      <c r="H22" s="11" t="str">
        <f t="shared" si="2"/>
        <v>Single Phase</v>
      </c>
      <c r="I22" s="12">
        <f>IF(A22&lt;=$D$10,'QC Protocol'!$C$7+'QC Protocol'!$C$8*B22+'QC Protocol'!$C$9*B22^2+'QC Protocol'!$C$10*B22^3,'QC Protocol'!$C$18+'QC Protocol'!$C$19*B22+'QC Protocol'!$C$20*B22^2)</f>
        <v>0.96523187186773496</v>
      </c>
      <c r="J22" s="12">
        <f t="shared" si="3"/>
        <v>6.3550932265066251E-5</v>
      </c>
      <c r="K22" s="13">
        <f t="shared" si="4"/>
        <v>6.5835733563022808E-3</v>
      </c>
      <c r="L22" s="8" t="str">
        <f>IF(K22="","",IF(A22&lt;=$D$10,IF(K22&lt;'QC Protocol'!$C$26,"PASS",IF(K22&lt;'QC Protocol'!$C$27,"WARN","FAIL")),IF(K22&lt;'QC Protocol'!$C$28,"PASS",IF(K22&lt;'QC Protocol'!$C$29,"WARN","FAIL"))))</f>
        <v>PASS</v>
      </c>
      <c r="O22" s="29">
        <f t="shared" si="5"/>
        <v>7</v>
      </c>
      <c r="P22" s="32">
        <f t="shared" si="6"/>
        <v>4029.4571999999998</v>
      </c>
      <c r="Q22" s="33">
        <f t="shared" si="7"/>
        <v>0.96529542280000002</v>
      </c>
      <c r="R22" s="33">
        <f t="shared" si="8"/>
        <v>0.71025107039987911</v>
      </c>
      <c r="S22" s="33" t="str">
        <f t="shared" si="9"/>
        <v/>
      </c>
      <c r="T22" s="33">
        <f t="shared" si="10"/>
        <v>9.6773324417836655</v>
      </c>
      <c r="U22" s="34">
        <f t="shared" si="11"/>
        <v>0.96529542280000002</v>
      </c>
      <c r="V22" s="34">
        <f t="shared" si="12"/>
        <v>0.98460133125600002</v>
      </c>
      <c r="W22" s="34">
        <f t="shared" si="13"/>
        <v>0.94598951434400003</v>
      </c>
      <c r="X22" s="35" t="str">
        <f t="shared" si="14"/>
        <v>OK</v>
      </c>
      <c r="Y22" s="33" t="str">
        <f t="shared" si="15"/>
        <v/>
      </c>
    </row>
    <row r="23" spans="1:32" x14ac:dyDescent="0.25">
      <c r="A23" s="8">
        <v>8</v>
      </c>
      <c r="B23" s="6">
        <v>3938.73</v>
      </c>
      <c r="C23" s="9">
        <v>96.616910970000006</v>
      </c>
      <c r="D23" s="10">
        <f t="shared" si="0"/>
        <v>0.96616910970000003</v>
      </c>
      <c r="E23" s="10">
        <f t="shared" si="16"/>
        <v>0.70960880493135048</v>
      </c>
      <c r="F23" s="10">
        <f t="shared" si="17"/>
        <v>10.236258215289961</v>
      </c>
      <c r="G23" s="10" t="str">
        <f t="shared" si="1"/>
        <v/>
      </c>
      <c r="H23" s="11" t="str">
        <f t="shared" si="2"/>
        <v>Single Phase</v>
      </c>
      <c r="I23" s="12">
        <f>IF(A23&lt;=$D$10,'QC Protocol'!$C$7+'QC Protocol'!$C$8*B23+'QC Protocol'!$C$9*B23^2+'QC Protocol'!$C$10*B23^3,'QC Protocol'!$C$18+'QC Protocol'!$C$19*B23+'QC Protocol'!$C$20*B23^2)</f>
        <v>0.96610449101644857</v>
      </c>
      <c r="J23" s="12">
        <f t="shared" si="3"/>
        <v>6.4618683551453948E-5</v>
      </c>
      <c r="K23" s="13">
        <f t="shared" si="4"/>
        <v>6.6881338787076663E-3</v>
      </c>
      <c r="L23" s="8" t="str">
        <f>IF(K23="","",IF(A23&lt;=$D$10,IF(K23&lt;'QC Protocol'!$C$26,"PASS",IF(K23&lt;'QC Protocol'!$C$27,"WARN","FAIL")),IF(K23&lt;'QC Protocol'!$C$28,"PASS",IF(K23&lt;'QC Protocol'!$C$29,"WARN","FAIL"))))</f>
        <v>PASS</v>
      </c>
      <c r="O23" s="29">
        <f t="shared" si="5"/>
        <v>8</v>
      </c>
      <c r="P23" s="32">
        <f t="shared" si="6"/>
        <v>3938.73</v>
      </c>
      <c r="Q23" s="33">
        <f t="shared" si="7"/>
        <v>0.96616910970000003</v>
      </c>
      <c r="R23" s="33">
        <f t="shared" si="8"/>
        <v>0.70960880493135048</v>
      </c>
      <c r="S23" s="33" t="str">
        <f t="shared" si="9"/>
        <v/>
      </c>
      <c r="T23" s="33">
        <f t="shared" si="10"/>
        <v>10.236258215289961</v>
      </c>
      <c r="U23" s="34">
        <f t="shared" si="11"/>
        <v>0.96616910970000003</v>
      </c>
      <c r="V23" s="34">
        <f t="shared" si="12"/>
        <v>0.98549249189400001</v>
      </c>
      <c r="W23" s="34">
        <f t="shared" si="13"/>
        <v>0.94684572750600005</v>
      </c>
      <c r="X23" s="35" t="str">
        <f t="shared" si="14"/>
        <v>OK</v>
      </c>
      <c r="Y23" s="33" t="str">
        <f t="shared" si="15"/>
        <v/>
      </c>
    </row>
    <row r="24" spans="1:32" x14ac:dyDescent="0.25">
      <c r="A24" s="8">
        <v>9</v>
      </c>
      <c r="B24" s="6">
        <v>3532.4847</v>
      </c>
      <c r="C24" s="9">
        <v>97.021045920000006</v>
      </c>
      <c r="D24" s="10">
        <f t="shared" si="0"/>
        <v>0.97021045920000004</v>
      </c>
      <c r="E24" s="10">
        <f t="shared" si="16"/>
        <v>0.70665297492373591</v>
      </c>
      <c r="F24" s="10">
        <f t="shared" si="17"/>
        <v>10.62310251989024</v>
      </c>
      <c r="G24" s="10" t="str">
        <f t="shared" si="1"/>
        <v/>
      </c>
      <c r="H24" s="11" t="str">
        <f t="shared" si="2"/>
        <v>Single Phase</v>
      </c>
      <c r="I24" s="12">
        <f>IF(A24&lt;=$D$10,'QC Protocol'!$C$7+'QC Protocol'!$C$8*B24+'QC Protocol'!$C$9*B24^2+'QC Protocol'!$C$10*B24^3,'QC Protocol'!$C$18+'QC Protocol'!$C$19*B24+'QC Protocol'!$C$20*B24^2)</f>
        <v>0.97015633240250099</v>
      </c>
      <c r="J24" s="12">
        <f t="shared" si="3"/>
        <v>5.4126797499054469E-5</v>
      </c>
      <c r="K24" s="13">
        <f t="shared" si="4"/>
        <v>5.57887177836502E-3</v>
      </c>
      <c r="L24" s="8" t="str">
        <f>IF(K24="","",IF(A24&lt;=$D$10,IF(K24&lt;'QC Protocol'!$C$26,"PASS",IF(K24&lt;'QC Protocol'!$C$27,"WARN","FAIL")),IF(K24&lt;'QC Protocol'!$C$28,"PASS",IF(K24&lt;'QC Protocol'!$C$29,"WARN","FAIL"))))</f>
        <v>PASS</v>
      </c>
      <c r="O24" s="29">
        <f t="shared" si="5"/>
        <v>9</v>
      </c>
      <c r="P24" s="32">
        <f t="shared" si="6"/>
        <v>3532.4847</v>
      </c>
      <c r="Q24" s="33">
        <f t="shared" si="7"/>
        <v>0.97021045920000004</v>
      </c>
      <c r="R24" s="33">
        <f t="shared" si="8"/>
        <v>0.70665297492373591</v>
      </c>
      <c r="S24" s="33" t="str">
        <f t="shared" si="9"/>
        <v/>
      </c>
      <c r="T24" s="33">
        <f t="shared" si="10"/>
        <v>10.62310251989024</v>
      </c>
      <c r="U24" s="34">
        <f t="shared" si="11"/>
        <v>0.97021045920000004</v>
      </c>
      <c r="V24" s="34">
        <f t="shared" si="12"/>
        <v>0.98961466838400003</v>
      </c>
      <c r="W24" s="34">
        <f t="shared" si="13"/>
        <v>0.95080625001600005</v>
      </c>
      <c r="X24" s="35" t="str">
        <f t="shared" si="14"/>
        <v>OK</v>
      </c>
      <c r="Y24" s="33" t="str">
        <f t="shared" si="15"/>
        <v/>
      </c>
    </row>
    <row r="25" spans="1:32" x14ac:dyDescent="0.25">
      <c r="A25" s="8">
        <v>10</v>
      </c>
      <c r="B25" s="6">
        <v>3031.1977000000002</v>
      </c>
      <c r="C25" s="9">
        <v>97.552272310000006</v>
      </c>
      <c r="D25" s="10">
        <f t="shared" si="0"/>
        <v>0.9755227231000001</v>
      </c>
      <c r="E25" s="10">
        <f t="shared" si="16"/>
        <v>0.70280485637188317</v>
      </c>
      <c r="F25" s="10">
        <f t="shared" si="17"/>
        <v>11.298114119058045</v>
      </c>
      <c r="G25" s="10" t="str">
        <f t="shared" si="1"/>
        <v/>
      </c>
      <c r="H25" s="11" t="str">
        <f t="shared" si="2"/>
        <v>Single Phase</v>
      </c>
      <c r="I25" s="12">
        <f>IF(A25&lt;=$D$10,'QC Protocol'!$C$7+'QC Protocol'!$C$8*B25+'QC Protocol'!$C$9*B25^2+'QC Protocol'!$C$10*B25^3,'QC Protocol'!$C$18+'QC Protocol'!$C$19*B25+'QC Protocol'!$C$20*B25^2)</f>
        <v>0.97551440722075677</v>
      </c>
      <c r="J25" s="12">
        <f t="shared" si="3"/>
        <v>8.3158792433257744E-6</v>
      </c>
      <c r="K25" s="13">
        <f t="shared" si="4"/>
        <v>8.5245366882892386E-4</v>
      </c>
      <c r="L25" s="8" t="str">
        <f>IF(K25="","",IF(A25&lt;=$D$10,IF(K25&lt;'QC Protocol'!$C$26,"PASS",IF(K25&lt;'QC Protocol'!$C$27,"WARN","FAIL")),IF(K25&lt;'QC Protocol'!$C$28,"PASS",IF(K25&lt;'QC Protocol'!$C$29,"WARN","FAIL"))))</f>
        <v>PASS</v>
      </c>
      <c r="O25" s="29">
        <f t="shared" si="5"/>
        <v>10</v>
      </c>
      <c r="P25" s="32">
        <f t="shared" si="6"/>
        <v>3031.1977000000002</v>
      </c>
      <c r="Q25" s="33">
        <f t="shared" si="7"/>
        <v>0.9755227231000001</v>
      </c>
      <c r="R25" s="33">
        <f t="shared" si="8"/>
        <v>0.70280485637188317</v>
      </c>
      <c r="S25" s="33" t="str">
        <f t="shared" si="9"/>
        <v/>
      </c>
      <c r="T25" s="33">
        <f t="shared" si="10"/>
        <v>11.298114119058045</v>
      </c>
      <c r="U25" s="34">
        <f t="shared" si="11"/>
        <v>0.9755227231000001</v>
      </c>
      <c r="V25" s="34">
        <f t="shared" si="12"/>
        <v>0.99503317756200016</v>
      </c>
      <c r="W25" s="34">
        <f t="shared" si="13"/>
        <v>0.95601226863800004</v>
      </c>
      <c r="X25" s="35" t="str">
        <f t="shared" si="14"/>
        <v>OK</v>
      </c>
      <c r="Y25" s="33" t="str">
        <f t="shared" si="15"/>
        <v/>
      </c>
    </row>
    <row r="26" spans="1:32" x14ac:dyDescent="0.25">
      <c r="A26" s="8">
        <v>11</v>
      </c>
      <c r="B26" s="6">
        <v>2529.5335</v>
      </c>
      <c r="C26" s="9">
        <v>98.126455309999997</v>
      </c>
      <c r="D26" s="10">
        <f t="shared" si="0"/>
        <v>0.98126455309999994</v>
      </c>
      <c r="E26" s="10">
        <f t="shared" si="16"/>
        <v>0.69869242206890836</v>
      </c>
      <c r="F26" s="10">
        <f t="shared" si="17"/>
        <v>12.186544319789581</v>
      </c>
      <c r="G26" s="10" t="str">
        <f t="shared" si="1"/>
        <v/>
      </c>
      <c r="H26" s="11" t="str">
        <f t="shared" si="2"/>
        <v>Single Phase</v>
      </c>
      <c r="I26" s="12">
        <f>IF(A26&lt;=$D$10,'QC Protocol'!$C$7+'QC Protocol'!$C$8*B26+'QC Protocol'!$C$9*B26^2+'QC Protocol'!$C$10*B26^3,'QC Protocol'!$C$18+'QC Protocol'!$C$19*B26+'QC Protocol'!$C$20*B26^2)</f>
        <v>0.98132363804196832</v>
      </c>
      <c r="J26" s="12">
        <f t="shared" si="3"/>
        <v>-5.9084941968379212E-5</v>
      </c>
      <c r="K26" s="13">
        <f t="shared" si="4"/>
        <v>6.0213060567324813E-3</v>
      </c>
      <c r="L26" s="8" t="str">
        <f>IF(K26="","",IF(A26&lt;=$D$10,IF(K26&lt;'QC Protocol'!$C$26,"PASS",IF(K26&lt;'QC Protocol'!$C$27,"WARN","FAIL")),IF(K26&lt;'QC Protocol'!$C$28,"PASS",IF(K26&lt;'QC Protocol'!$C$29,"WARN","FAIL"))))</f>
        <v>PASS</v>
      </c>
      <c r="O26" s="29">
        <f t="shared" si="5"/>
        <v>11</v>
      </c>
      <c r="P26" s="32">
        <f t="shared" si="6"/>
        <v>2529.5335</v>
      </c>
      <c r="Q26" s="33">
        <f t="shared" si="7"/>
        <v>0.98126455309999994</v>
      </c>
      <c r="R26" s="33">
        <f t="shared" si="8"/>
        <v>0.69869242206890836</v>
      </c>
      <c r="S26" s="33" t="str">
        <f t="shared" si="9"/>
        <v/>
      </c>
      <c r="T26" s="33">
        <f t="shared" si="10"/>
        <v>12.186544319789581</v>
      </c>
      <c r="U26" s="34">
        <f t="shared" si="11"/>
        <v>0.98126455309999994</v>
      </c>
      <c r="V26" s="34">
        <f t="shared" si="12"/>
        <v>1.000889844162</v>
      </c>
      <c r="W26" s="34">
        <f t="shared" si="13"/>
        <v>0.96163926203799988</v>
      </c>
      <c r="X26" s="35" t="str">
        <f t="shared" si="14"/>
        <v>OK</v>
      </c>
      <c r="Y26" s="33" t="str">
        <f t="shared" si="15"/>
        <v/>
      </c>
    </row>
    <row r="27" spans="1:32" x14ac:dyDescent="0.25">
      <c r="A27" s="8">
        <v>12</v>
      </c>
      <c r="B27" s="6">
        <v>2031.2057</v>
      </c>
      <c r="C27" s="9">
        <v>98.748085140000001</v>
      </c>
      <c r="D27" s="10">
        <f t="shared" si="0"/>
        <v>0.98748085139999997</v>
      </c>
      <c r="E27" s="10">
        <f t="shared" si="16"/>
        <v>0.69429407803077114</v>
      </c>
      <c r="F27" s="10">
        <f t="shared" si="17"/>
        <v>13.279018720195429</v>
      </c>
      <c r="G27" s="10" t="str">
        <f t="shared" si="1"/>
        <v/>
      </c>
      <c r="H27" s="11" t="str">
        <f t="shared" si="2"/>
        <v>Single Phase</v>
      </c>
      <c r="I27" s="12">
        <f>IF(A27&lt;=$D$10,'QC Protocol'!$C$7+'QC Protocol'!$C$8*B27+'QC Protocol'!$C$9*B27^2+'QC Protocol'!$C$10*B27^3,'QC Protocol'!$C$18+'QC Protocol'!$C$19*B27+'QC Protocol'!$C$20*B27^2)</f>
        <v>0.98759073303392475</v>
      </c>
      <c r="J27" s="12">
        <f t="shared" si="3"/>
        <v>-1.098816339247799E-4</v>
      </c>
      <c r="K27" s="13">
        <f t="shared" si="4"/>
        <v>1.1127469840958974E-2</v>
      </c>
      <c r="L27" s="8" t="str">
        <f>IF(K27="","",IF(A27&lt;=$D$10,IF(K27&lt;'QC Protocol'!$C$26,"PASS",IF(K27&lt;'QC Protocol'!$C$27,"WARN","FAIL")),IF(K27&lt;'QC Protocol'!$C$28,"PASS",IF(K27&lt;'QC Protocol'!$C$29,"WARN","FAIL"))))</f>
        <v>PASS</v>
      </c>
      <c r="O27" s="29">
        <f t="shared" si="5"/>
        <v>12</v>
      </c>
      <c r="P27" s="32">
        <f t="shared" si="6"/>
        <v>2031.2057</v>
      </c>
      <c r="Q27" s="33">
        <f t="shared" si="7"/>
        <v>0.98748085139999997</v>
      </c>
      <c r="R27" s="33">
        <f t="shared" si="8"/>
        <v>0.69429407803077114</v>
      </c>
      <c r="S27" s="33" t="str">
        <f t="shared" si="9"/>
        <v/>
      </c>
      <c r="T27" s="33">
        <f t="shared" si="10"/>
        <v>13.279018720195429</v>
      </c>
      <c r="U27" s="34">
        <f t="shared" si="11"/>
        <v>0.98748085139999997</v>
      </c>
      <c r="V27" s="34">
        <f t="shared" si="12"/>
        <v>1.007230468428</v>
      </c>
      <c r="W27" s="34">
        <f t="shared" si="13"/>
        <v>0.96773123437199993</v>
      </c>
      <c r="X27" s="35" t="str">
        <f t="shared" si="14"/>
        <v>OK</v>
      </c>
      <c r="Y27" s="33" t="str">
        <f t="shared" si="15"/>
        <v/>
      </c>
    </row>
    <row r="28" spans="1:32" x14ac:dyDescent="0.25">
      <c r="A28" s="8">
        <v>13</v>
      </c>
      <c r="B28" s="6">
        <v>1528.4730999999999</v>
      </c>
      <c r="C28" s="9">
        <v>99.439123460000005</v>
      </c>
      <c r="D28" s="10">
        <f t="shared" si="0"/>
        <v>0.99439123460000001</v>
      </c>
      <c r="E28" s="10">
        <f t="shared" si="16"/>
        <v>0.68946917816667153</v>
      </c>
      <c r="F28" s="10">
        <f t="shared" si="17"/>
        <v>14.172775770578308</v>
      </c>
      <c r="G28" s="10" t="str">
        <f t="shared" si="1"/>
        <v/>
      </c>
      <c r="H28" s="11" t="str">
        <f t="shared" si="2"/>
        <v>Single Phase</v>
      </c>
      <c r="I28" s="12">
        <f>IF(A28&lt;=$D$10,'QC Protocol'!$C$7+'QC Protocol'!$C$8*B28+'QC Protocol'!$C$9*B28^2+'QC Protocol'!$C$10*B28^3,'QC Protocol'!$C$18+'QC Protocol'!$C$19*B28+'QC Protocol'!$C$20*B28^2)</f>
        <v>0.99446889071742506</v>
      </c>
      <c r="J28" s="12">
        <f t="shared" si="3"/>
        <v>-7.7656117425051185E-5</v>
      </c>
      <c r="K28" s="13">
        <f t="shared" si="4"/>
        <v>7.8094129074145393E-3</v>
      </c>
      <c r="L28" s="8" t="str">
        <f>IF(K28="","",IF(A28&lt;=$D$10,IF(K28&lt;'QC Protocol'!$C$26,"PASS",IF(K28&lt;'QC Protocol'!$C$27,"WARN","FAIL")),IF(K28&lt;'QC Protocol'!$C$28,"PASS",IF(K28&lt;'QC Protocol'!$C$29,"WARN","FAIL"))))</f>
        <v>PASS</v>
      </c>
      <c r="O28" s="29">
        <f t="shared" si="5"/>
        <v>13</v>
      </c>
      <c r="P28" s="32">
        <f t="shared" si="6"/>
        <v>1528.4730999999999</v>
      </c>
      <c r="Q28" s="33">
        <f t="shared" si="7"/>
        <v>0.99439123460000001</v>
      </c>
      <c r="R28" s="33">
        <f t="shared" si="8"/>
        <v>0.68946917816667153</v>
      </c>
      <c r="S28" s="33" t="str">
        <f t="shared" si="9"/>
        <v/>
      </c>
      <c r="T28" s="33">
        <f t="shared" si="10"/>
        <v>14.172775770578308</v>
      </c>
      <c r="U28" s="34">
        <f t="shared" si="11"/>
        <v>0.99439123460000001</v>
      </c>
      <c r="V28" s="34">
        <f t="shared" si="12"/>
        <v>1.0142790592920001</v>
      </c>
      <c r="W28" s="34">
        <f t="shared" si="13"/>
        <v>0.974503409908</v>
      </c>
      <c r="X28" s="35" t="str">
        <f t="shared" si="14"/>
        <v>OK</v>
      </c>
      <c r="Y28" s="33" t="str">
        <f t="shared" si="15"/>
        <v/>
      </c>
    </row>
    <row r="29" spans="1:32" x14ac:dyDescent="0.25">
      <c r="A29" s="8">
        <v>14</v>
      </c>
      <c r="B29" s="6">
        <v>1295.0730000000001</v>
      </c>
      <c r="C29" s="9">
        <v>99.785537860000005</v>
      </c>
      <c r="D29" s="10">
        <f t="shared" si="0"/>
        <v>0.99785537860000006</v>
      </c>
      <c r="E29" s="10">
        <f t="shared" si="16"/>
        <v>0.68707562438327463</v>
      </c>
      <c r="F29" s="10">
        <f t="shared" si="17"/>
        <v>14.944624483881903</v>
      </c>
      <c r="G29" s="10" t="str">
        <f t="shared" si="1"/>
        <v/>
      </c>
      <c r="H29" s="11" t="str">
        <f t="shared" si="2"/>
        <v>Single Phase</v>
      </c>
      <c r="I29" s="12">
        <f>IF(A29&lt;=$D$10,'QC Protocol'!$C$7+'QC Protocol'!$C$8*B29+'QC Protocol'!$C$9*B29^2+'QC Protocol'!$C$10*B29^3,'QC Protocol'!$C$18+'QC Protocol'!$C$19*B29+'QC Protocol'!$C$20*B29^2)</f>
        <v>0.99786707995964619</v>
      </c>
      <c r="J29" s="12">
        <f t="shared" si="3"/>
        <v>-1.170135964612129E-5</v>
      </c>
      <c r="K29" s="13">
        <f t="shared" si="4"/>
        <v>1.1726508567342095E-3</v>
      </c>
      <c r="L29" s="8" t="str">
        <f>IF(K29="","",IF(A29&lt;=$D$10,IF(K29&lt;'QC Protocol'!$C$26,"PASS",IF(K29&lt;'QC Protocol'!$C$27,"WARN","FAIL")),IF(K29&lt;'QC Protocol'!$C$28,"PASS",IF(K29&lt;'QC Protocol'!$C$29,"WARN","FAIL"))))</f>
        <v>PASS</v>
      </c>
      <c r="O29" s="29">
        <f t="shared" si="5"/>
        <v>14</v>
      </c>
      <c r="P29" s="32">
        <f t="shared" si="6"/>
        <v>1295.0730000000001</v>
      </c>
      <c r="Q29" s="33">
        <f t="shared" si="7"/>
        <v>0.99785537860000006</v>
      </c>
      <c r="R29" s="33">
        <f t="shared" si="8"/>
        <v>0.68707562438327463</v>
      </c>
      <c r="S29" s="33" t="str">
        <f t="shared" si="9"/>
        <v/>
      </c>
      <c r="T29" s="33">
        <f t="shared" si="10"/>
        <v>14.944624483881903</v>
      </c>
      <c r="U29" s="34">
        <f t="shared" si="11"/>
        <v>0.99785537860000006</v>
      </c>
      <c r="V29" s="34">
        <f t="shared" si="12"/>
        <v>1.0178124861720002</v>
      </c>
      <c r="W29" s="34">
        <f t="shared" si="13"/>
        <v>0.97789827102800009</v>
      </c>
      <c r="X29" s="35" t="str">
        <f t="shared" si="14"/>
        <v>OK</v>
      </c>
      <c r="Y29" s="33" t="str">
        <f t="shared" si="15"/>
        <v/>
      </c>
    </row>
    <row r="30" spans="1:32" x14ac:dyDescent="0.25">
      <c r="A30" s="8">
        <v>15</v>
      </c>
      <c r="B30" s="6">
        <v>1249.8194000000001</v>
      </c>
      <c r="C30" s="9">
        <v>99.854667849999998</v>
      </c>
      <c r="D30" s="10">
        <f t="shared" si="0"/>
        <v>0.99854667850000001</v>
      </c>
      <c r="E30" s="10">
        <f t="shared" si="16"/>
        <v>0.68659995777633931</v>
      </c>
      <c r="F30" s="10">
        <f t="shared" si="17"/>
        <v>15.328290438628578</v>
      </c>
      <c r="G30" s="10" t="str">
        <f t="shared" si="1"/>
        <v/>
      </c>
      <c r="H30" s="11" t="str">
        <f t="shared" si="2"/>
        <v>Single Phase</v>
      </c>
      <c r="I30" s="12">
        <f>IF(A30&lt;=$D$10,'QC Protocol'!$C$7+'QC Protocol'!$C$8*B30+'QC Protocol'!$C$9*B30^2+'QC Protocol'!$C$10*B30^3,'QC Protocol'!$C$18+'QC Protocol'!$C$19*B30+'QC Protocol'!$C$20*B30^2)</f>
        <v>0.99854169617073651</v>
      </c>
      <c r="J30" s="12">
        <f t="shared" si="3"/>
        <v>4.9823292634920691E-6</v>
      </c>
      <c r="K30" s="13">
        <f t="shared" si="4"/>
        <v>4.9895807284406973E-4</v>
      </c>
      <c r="L30" s="8" t="str">
        <f>IF(K30="","",IF(A30&lt;=$D$10,IF(K30&lt;'QC Protocol'!$C$26,"PASS",IF(K30&lt;'QC Protocol'!$C$27,"WARN","FAIL")),IF(K30&lt;'QC Protocol'!$C$28,"PASS",IF(K30&lt;'QC Protocol'!$C$29,"WARN","FAIL"))))</f>
        <v>PASS</v>
      </c>
      <c r="O30" s="29">
        <f t="shared" si="5"/>
        <v>15</v>
      </c>
      <c r="P30" s="32">
        <f t="shared" si="6"/>
        <v>1249.8194000000001</v>
      </c>
      <c r="Q30" s="33">
        <f t="shared" si="7"/>
        <v>0.99854667850000001</v>
      </c>
      <c r="R30" s="33">
        <f t="shared" si="8"/>
        <v>0.68659995777633931</v>
      </c>
      <c r="S30" s="33" t="str">
        <f t="shared" si="9"/>
        <v/>
      </c>
      <c r="T30" s="33">
        <f t="shared" si="10"/>
        <v>15.328290438628578</v>
      </c>
      <c r="U30" s="34">
        <f t="shared" si="11"/>
        <v>0.99854667850000001</v>
      </c>
      <c r="V30" s="34">
        <f t="shared" si="12"/>
        <v>1.0185176120700001</v>
      </c>
      <c r="W30" s="34">
        <f t="shared" si="13"/>
        <v>0.97857574492999999</v>
      </c>
      <c r="X30" s="35" t="str">
        <f t="shared" si="14"/>
        <v>OK</v>
      </c>
      <c r="Y30" s="33" t="str">
        <f t="shared" si="15"/>
        <v/>
      </c>
    </row>
    <row r="31" spans="1:32" x14ac:dyDescent="0.25">
      <c r="A31" s="8">
        <v>16</v>
      </c>
      <c r="B31" s="6">
        <v>1229.3027</v>
      </c>
      <c r="C31" s="9">
        <v>99.886205970000006</v>
      </c>
      <c r="D31" s="10">
        <f t="shared" si="0"/>
        <v>0.99886205970000008</v>
      </c>
      <c r="E31" s="10">
        <f t="shared" si="16"/>
        <v>0.68638317036660579</v>
      </c>
      <c r="F31" s="10">
        <f t="shared" si="17"/>
        <v>15.415463045523387</v>
      </c>
      <c r="G31" s="10" t="str">
        <f t="shared" si="1"/>
        <v/>
      </c>
      <c r="H31" s="11" t="str">
        <f t="shared" si="2"/>
        <v>Single Phase</v>
      </c>
      <c r="I31" s="12">
        <f>IF(A31&lt;=$D$10,'QC Protocol'!$C$7+'QC Protocol'!$C$8*B31+'QC Protocol'!$C$9*B31^2+'QC Protocol'!$C$10*B31^3,'QC Protocol'!$C$18+'QC Protocol'!$C$19*B31+'QC Protocol'!$C$20*B31^2)</f>
        <v>0.99884926199638502</v>
      </c>
      <c r="J31" s="12">
        <f t="shared" si="3"/>
        <v>1.2797703615063938E-5</v>
      </c>
      <c r="K31" s="13">
        <f t="shared" si="4"/>
        <v>1.2812283228484642E-3</v>
      </c>
      <c r="L31" s="8" t="str">
        <f>IF(K31="","",IF(A31&lt;=$D$10,IF(K31&lt;'QC Protocol'!$C$26,"PASS",IF(K31&lt;'QC Protocol'!$C$27,"WARN","FAIL")),IF(K31&lt;'QC Protocol'!$C$28,"PASS",IF(K31&lt;'QC Protocol'!$C$29,"WARN","FAIL"))))</f>
        <v>PASS</v>
      </c>
      <c r="O31" s="29">
        <f t="shared" si="5"/>
        <v>16</v>
      </c>
      <c r="P31" s="32">
        <f t="shared" si="6"/>
        <v>1229.3027</v>
      </c>
      <c r="Q31" s="33">
        <f t="shared" si="7"/>
        <v>0.99886205970000008</v>
      </c>
      <c r="R31" s="33">
        <f t="shared" si="8"/>
        <v>0.68638317036660579</v>
      </c>
      <c r="S31" s="33" t="str">
        <f t="shared" si="9"/>
        <v/>
      </c>
      <c r="T31" s="33">
        <f t="shared" si="10"/>
        <v>15.415463045523387</v>
      </c>
      <c r="U31" s="34">
        <f t="shared" si="11"/>
        <v>0.99886205970000008</v>
      </c>
      <c r="V31" s="34">
        <f t="shared" si="12"/>
        <v>1.0188393008940002</v>
      </c>
      <c r="W31" s="34">
        <f t="shared" si="13"/>
        <v>0.97888481850600007</v>
      </c>
      <c r="X31" s="35" t="str">
        <f t="shared" si="14"/>
        <v>OK</v>
      </c>
      <c r="Y31" s="33" t="str">
        <f t="shared" si="15"/>
        <v/>
      </c>
    </row>
    <row r="32" spans="1:32" x14ac:dyDescent="0.25">
      <c r="A32" s="8">
        <v>17</v>
      </c>
      <c r="B32" s="6">
        <v>1209.9315999999999</v>
      </c>
      <c r="C32" s="9">
        <v>99.916086770000007</v>
      </c>
      <c r="D32" s="10">
        <f t="shared" si="0"/>
        <v>0.99916086770000012</v>
      </c>
      <c r="E32" s="10">
        <f t="shared" si="16"/>
        <v>0.68617790133636136</v>
      </c>
      <c r="F32" s="10">
        <f t="shared" si="17"/>
        <v>15.461318054693082</v>
      </c>
      <c r="G32" s="10" t="str">
        <f t="shared" si="1"/>
        <v/>
      </c>
      <c r="H32" s="11" t="str">
        <f t="shared" si="2"/>
        <v>Single Phase</v>
      </c>
      <c r="I32" s="12">
        <f>IF(A32&lt;=$D$10,'QC Protocol'!$C$7+'QC Protocol'!$C$8*B32+'QC Protocol'!$C$9*B32^2+'QC Protocol'!$C$10*B32^3,'QC Protocol'!$C$18+'QC Protocol'!$C$19*B32+'QC Protocol'!$C$20*B32^2)</f>
        <v>0.99914064027321881</v>
      </c>
      <c r="J32" s="12">
        <f t="shared" si="3"/>
        <v>2.0227426781316282E-5</v>
      </c>
      <c r="K32" s="13">
        <f t="shared" si="4"/>
        <v>2.0244414523437485E-3</v>
      </c>
      <c r="L32" s="8" t="str">
        <f>IF(K32="","",IF(A32&lt;=$D$10,IF(K32&lt;'QC Protocol'!$C$26,"PASS",IF(K32&lt;'QC Protocol'!$C$27,"WARN","FAIL")),IF(K32&lt;'QC Protocol'!$C$28,"PASS",IF(K32&lt;'QC Protocol'!$C$29,"WARN","FAIL"))))</f>
        <v>PASS</v>
      </c>
      <c r="O32" s="29">
        <f t="shared" si="5"/>
        <v>17</v>
      </c>
      <c r="P32" s="32">
        <f t="shared" si="6"/>
        <v>1209.9315999999999</v>
      </c>
      <c r="Q32" s="33">
        <f t="shared" si="7"/>
        <v>0.99916086770000012</v>
      </c>
      <c r="R32" s="33">
        <f t="shared" si="8"/>
        <v>0.68617790133636136</v>
      </c>
      <c r="S32" s="33" t="str">
        <f t="shared" si="9"/>
        <v/>
      </c>
      <c r="T32" s="33">
        <f t="shared" si="10"/>
        <v>15.461318054693082</v>
      </c>
      <c r="U32" s="34">
        <f t="shared" si="11"/>
        <v>0.99916086770000012</v>
      </c>
      <c r="V32" s="34">
        <f t="shared" si="12"/>
        <v>1.0191440850540001</v>
      </c>
      <c r="W32" s="34">
        <f t="shared" si="13"/>
        <v>0.97917765034600013</v>
      </c>
      <c r="X32" s="35" t="str">
        <f t="shared" si="14"/>
        <v>OK</v>
      </c>
      <c r="Y32" s="33" t="str">
        <f t="shared" si="15"/>
        <v/>
      </c>
    </row>
    <row r="33" spans="1:32" x14ac:dyDescent="0.25">
      <c r="A33" s="8">
        <v>18</v>
      </c>
      <c r="B33" s="6">
        <v>1190.4659999999999</v>
      </c>
      <c r="C33" s="9">
        <v>99.946202240000005</v>
      </c>
      <c r="D33" s="10">
        <f t="shared" si="0"/>
        <v>0.99946202240000004</v>
      </c>
      <c r="E33" s="10">
        <f t="shared" si="16"/>
        <v>0.68597114440574047</v>
      </c>
      <c r="F33" s="10">
        <f t="shared" si="17"/>
        <v>15.492725853315763</v>
      </c>
      <c r="G33" s="10" t="str">
        <f t="shared" si="1"/>
        <v/>
      </c>
      <c r="H33" s="11" t="str">
        <f t="shared" si="2"/>
        <v>Single Phase</v>
      </c>
      <c r="I33" s="12">
        <f>IF(A33&lt;=$D$10,'QC Protocol'!$C$7+'QC Protocol'!$C$8*B33+'QC Protocol'!$C$9*B33^2+'QC Protocol'!$C$10*B33^3,'QC Protocol'!$C$18+'QC Protocol'!$C$19*B33+'QC Protocol'!$C$20*B33^2)</f>
        <v>0.99943440806581896</v>
      </c>
      <c r="J33" s="12">
        <f t="shared" si="3"/>
        <v>2.7614334181080835E-5</v>
      </c>
      <c r="K33" s="13">
        <f t="shared" si="4"/>
        <v>2.7629198070748861E-3</v>
      </c>
      <c r="L33" s="8" t="str">
        <f>IF(K33="","",IF(A33&lt;=$D$10,IF(K33&lt;'QC Protocol'!$C$26,"PASS",IF(K33&lt;'QC Protocol'!$C$27,"WARN","FAIL")),IF(K33&lt;'QC Protocol'!$C$28,"PASS",IF(K33&lt;'QC Protocol'!$C$29,"WARN","FAIL"))))</f>
        <v>PASS</v>
      </c>
      <c r="O33" s="29">
        <f t="shared" si="5"/>
        <v>18</v>
      </c>
      <c r="P33" s="32">
        <f t="shared" si="6"/>
        <v>1190.4659999999999</v>
      </c>
      <c r="Q33" s="33">
        <f t="shared" si="7"/>
        <v>0.99946202240000004</v>
      </c>
      <c r="R33" s="33">
        <f t="shared" si="8"/>
        <v>0.68597114440574047</v>
      </c>
      <c r="S33" s="33" t="str">
        <f t="shared" si="9"/>
        <v/>
      </c>
      <c r="T33" s="33">
        <f t="shared" si="10"/>
        <v>15.492725853315763</v>
      </c>
      <c r="U33" s="34">
        <f t="shared" si="11"/>
        <v>0.99946202240000004</v>
      </c>
      <c r="V33" s="34">
        <f t="shared" si="12"/>
        <v>1.0194512628480001</v>
      </c>
      <c r="W33" s="34">
        <f t="shared" si="13"/>
        <v>0.97947278195200005</v>
      </c>
      <c r="X33" s="35" t="str">
        <f t="shared" si="14"/>
        <v>OK</v>
      </c>
      <c r="Y33" s="33" t="str">
        <f t="shared" si="15"/>
        <v/>
      </c>
    </row>
    <row r="34" spans="1:32" x14ac:dyDescent="0.25">
      <c r="A34" s="8">
        <v>19</v>
      </c>
      <c r="B34" s="6">
        <v>1174.8298</v>
      </c>
      <c r="C34" s="9">
        <v>99.970439769999999</v>
      </c>
      <c r="D34" s="10">
        <f t="shared" si="0"/>
        <v>0.99970439769999997</v>
      </c>
      <c r="E34" s="10">
        <f t="shared" si="16"/>
        <v>0.68580483278172533</v>
      </c>
      <c r="F34" s="10">
        <f t="shared" si="17"/>
        <v>15.492188923267747</v>
      </c>
      <c r="G34" s="10" t="str">
        <f t="shared" si="1"/>
        <v/>
      </c>
      <c r="H34" s="11" t="str">
        <f t="shared" si="2"/>
        <v>Single Phase</v>
      </c>
      <c r="I34" s="12">
        <f>IF(A34&lt;=$D$10,'QC Protocol'!$C$7+'QC Protocol'!$C$8*B34+'QC Protocol'!$C$9*B34^2+'QC Protocol'!$C$10*B34^3,'QC Protocol'!$C$18+'QC Protocol'!$C$19*B34+'QC Protocol'!$C$20*B34^2)</f>
        <v>0.99967108891432555</v>
      </c>
      <c r="J34" s="12">
        <f t="shared" si="3"/>
        <v>3.330878567442408E-5</v>
      </c>
      <c r="K34" s="13">
        <f t="shared" si="4"/>
        <v>3.3318634739485935E-3</v>
      </c>
      <c r="L34" s="8" t="str">
        <f>IF(K34="","",IF(A34&lt;=$D$10,IF(K34&lt;'QC Protocol'!$C$26,"PASS",IF(K34&lt;'QC Protocol'!$C$27,"WARN","FAIL")),IF(K34&lt;'QC Protocol'!$C$28,"PASS",IF(K34&lt;'QC Protocol'!$C$29,"WARN","FAIL"))))</f>
        <v>PASS</v>
      </c>
      <c r="O34" s="29">
        <f t="shared" si="5"/>
        <v>19</v>
      </c>
      <c r="P34" s="32">
        <f t="shared" si="6"/>
        <v>1174.8298</v>
      </c>
      <c r="Q34" s="33">
        <f t="shared" si="7"/>
        <v>0.99970439769999997</v>
      </c>
      <c r="R34" s="33">
        <f t="shared" si="8"/>
        <v>0.68580483278172533</v>
      </c>
      <c r="S34" s="33" t="str">
        <f t="shared" si="9"/>
        <v/>
      </c>
      <c r="T34" s="33">
        <f t="shared" si="10"/>
        <v>15.492188923267747</v>
      </c>
      <c r="U34" s="34">
        <f t="shared" si="11"/>
        <v>0.99970439769999997</v>
      </c>
      <c r="V34" s="34">
        <f t="shared" si="12"/>
        <v>1.0196984856539999</v>
      </c>
      <c r="W34" s="34">
        <f t="shared" si="13"/>
        <v>0.97971030974599993</v>
      </c>
      <c r="X34" s="35" t="str">
        <f t="shared" si="14"/>
        <v>OK</v>
      </c>
      <c r="Y34" s="33" t="str">
        <f t="shared" si="15"/>
        <v/>
      </c>
    </row>
    <row r="35" spans="1:32" x14ac:dyDescent="0.25">
      <c r="A35" s="8">
        <v>20</v>
      </c>
      <c r="B35" s="6">
        <v>1155.73</v>
      </c>
      <c r="C35" s="9">
        <v>100</v>
      </c>
      <c r="D35" s="10">
        <f t="shared" si="0"/>
        <v>1</v>
      </c>
      <c r="E35" s="10">
        <f t="shared" si="16"/>
        <v>0.68560210729580395</v>
      </c>
      <c r="F35" s="10">
        <f t="shared" si="17"/>
        <v>85.166679743004252</v>
      </c>
      <c r="G35" s="10" t="str">
        <f t="shared" si="1"/>
        <v/>
      </c>
      <c r="H35" s="14" t="str">
        <f t="shared" si="2"/>
        <v>Bubble Point</v>
      </c>
      <c r="I35" s="12">
        <f>IF(A35&lt;=$D$10,'QC Protocol'!$C$7+'QC Protocol'!$C$8*B35+'QC Protocol'!$C$9*B35^2+'QC Protocol'!$C$10*B35^3,'QC Protocol'!$C$18+'QC Protocol'!$C$19*B35+'QC Protocol'!$C$20*B35^2)</f>
        <v>0.99996105206181796</v>
      </c>
      <c r="J35" s="12">
        <f t="shared" si="3"/>
        <v>3.8947938182043451E-5</v>
      </c>
      <c r="K35" s="13">
        <f t="shared" si="4"/>
        <v>3.8947938182043451E-3</v>
      </c>
      <c r="L35" s="8" t="str">
        <f>IF(K35="","",IF(A35&lt;=$D$10,IF(K35&lt;'QC Protocol'!$C$26,"PASS",IF(K35&lt;'QC Protocol'!$C$27,"WARN","FAIL")),IF(K35&lt;'QC Protocol'!$C$28,"PASS",IF(K35&lt;'QC Protocol'!$C$29,"WARN","FAIL"))))</f>
        <v>PASS</v>
      </c>
      <c r="O35" s="29">
        <f t="shared" si="5"/>
        <v>20</v>
      </c>
      <c r="P35" s="32">
        <f t="shared" si="6"/>
        <v>1155.73</v>
      </c>
      <c r="Q35" s="33">
        <f t="shared" si="7"/>
        <v>1</v>
      </c>
      <c r="R35" s="33">
        <f t="shared" si="8"/>
        <v>0.68560210729580395</v>
      </c>
      <c r="S35" s="33" t="str">
        <f t="shared" si="9"/>
        <v/>
      </c>
      <c r="T35" s="33">
        <f t="shared" si="10"/>
        <v>85.166679743004252</v>
      </c>
      <c r="U35" s="34">
        <f t="shared" si="11"/>
        <v>1</v>
      </c>
      <c r="V35" s="34">
        <f t="shared" si="12"/>
        <v>1.02</v>
      </c>
      <c r="W35" s="34">
        <f t="shared" si="13"/>
        <v>0.98</v>
      </c>
      <c r="X35" s="35" t="str">
        <f t="shared" si="14"/>
        <v>OK</v>
      </c>
      <c r="Y35" s="33" t="str">
        <f t="shared" si="15"/>
        <v/>
      </c>
    </row>
    <row r="36" spans="1:32" x14ac:dyDescent="0.25">
      <c r="A36" s="8">
        <v>21</v>
      </c>
      <c r="B36" s="6">
        <v>1151.8876</v>
      </c>
      <c r="C36" s="9">
        <v>100.16583086999999</v>
      </c>
      <c r="D36" s="10">
        <f t="shared" si="0"/>
        <v>1.0016583086999999</v>
      </c>
      <c r="E36" s="10" t="str">
        <f t="shared" si="16"/>
        <v/>
      </c>
      <c r="F36" s="10" t="str">
        <f t="shared" si="17"/>
        <v/>
      </c>
      <c r="G36" s="10">
        <f t="shared" si="1"/>
        <v>2.0115326737256582</v>
      </c>
      <c r="H36" s="15" t="str">
        <f t="shared" si="2"/>
        <v>Two Phase</v>
      </c>
      <c r="I36" s="12">
        <f>IF(A36&lt;=$D$10,'QC Protocol'!$C$7+'QC Protocol'!$C$8*B36+'QC Protocol'!$C$9*B36^2+'QC Protocol'!$C$10*B36^3,'QC Protocol'!$C$18+'QC Protocol'!$C$19*B36+'QC Protocol'!$C$20*B36^2)</f>
        <v>2.0100539306938909</v>
      </c>
      <c r="J36" s="12">
        <f t="shared" si="3"/>
        <v>1.4787430317673156E-3</v>
      </c>
      <c r="K36" s="13">
        <f t="shared" si="4"/>
        <v>7.3513249428281136E-2</v>
      </c>
      <c r="L36" s="8" t="str">
        <f>IF(K36="","",IF(A36&lt;=$D$10,IF(K36&lt;'QC Protocol'!$C$26,"PASS",IF(K36&lt;'QC Protocol'!$C$27,"WARN","FAIL")),IF(K36&lt;'QC Protocol'!$C$28,"PASS",IF(K36&lt;'QC Protocol'!$C$29,"WARN","FAIL"))))</f>
        <v>PASS</v>
      </c>
      <c r="O36" s="29">
        <f t="shared" si="5"/>
        <v>21</v>
      </c>
      <c r="P36" s="32">
        <f t="shared" si="6"/>
        <v>1151.8876</v>
      </c>
      <c r="Q36" s="33">
        <f t="shared" si="7"/>
        <v>1.0016583086999999</v>
      </c>
      <c r="R36" s="33" t="str">
        <f t="shared" si="8"/>
        <v/>
      </c>
      <c r="S36" s="33">
        <f t="shared" si="9"/>
        <v>2.0115326737256582</v>
      </c>
      <c r="T36" s="33" t="str">
        <f t="shared" si="10"/>
        <v/>
      </c>
      <c r="U36" s="34">
        <f t="shared" si="11"/>
        <v>1.0016583086999999</v>
      </c>
      <c r="V36" s="34">
        <f t="shared" si="12"/>
        <v>1.021691474874</v>
      </c>
      <c r="W36" s="34">
        <f t="shared" si="13"/>
        <v>0.98162514252599997</v>
      </c>
      <c r="X36" s="35" t="str">
        <f t="shared" si="14"/>
        <v>OK</v>
      </c>
      <c r="Y36" s="33" t="str">
        <f t="shared" si="15"/>
        <v/>
      </c>
    </row>
    <row r="37" spans="1:32" x14ac:dyDescent="0.25">
      <c r="A37" s="8">
        <v>22</v>
      </c>
      <c r="B37" s="6">
        <v>1151.5455999999999</v>
      </c>
      <c r="C37" s="9">
        <v>100.18065659</v>
      </c>
      <c r="D37" s="10">
        <f t="shared" si="0"/>
        <v>1.0018065658999999</v>
      </c>
      <c r="E37" s="10" t="str">
        <f t="shared" si="16"/>
        <v/>
      </c>
      <c r="F37" s="10" t="str">
        <f t="shared" si="17"/>
        <v/>
      </c>
      <c r="G37" s="10">
        <f t="shared" si="1"/>
        <v>2.01139906897038</v>
      </c>
      <c r="H37" s="15" t="str">
        <f t="shared" si="2"/>
        <v>Two Phase</v>
      </c>
      <c r="I37" s="12">
        <f>IF(A37&lt;=$D$10,'QC Protocol'!$C$7+'QC Protocol'!$C$8*B37+'QC Protocol'!$C$9*B37^2+'QC Protocol'!$C$10*B37^3,'QC Protocol'!$C$18+'QC Protocol'!$C$19*B37+'QC Protocol'!$C$20*B37^2)</f>
        <v>2.0099402322828008</v>
      </c>
      <c r="J37" s="12">
        <f t="shared" si="3"/>
        <v>1.4588366875791792E-3</v>
      </c>
      <c r="K37" s="13">
        <f t="shared" si="4"/>
        <v>7.252845594315338E-2</v>
      </c>
      <c r="L37" s="8" t="str">
        <f>IF(K37="","",IF(A37&lt;=$D$10,IF(K37&lt;'QC Protocol'!$C$26,"PASS",IF(K37&lt;'QC Protocol'!$C$27,"WARN","FAIL")),IF(K37&lt;'QC Protocol'!$C$28,"PASS",IF(K37&lt;'QC Protocol'!$C$29,"WARN","FAIL"))))</f>
        <v>PASS</v>
      </c>
      <c r="O37" s="29">
        <f t="shared" si="5"/>
        <v>22</v>
      </c>
      <c r="P37" s="32">
        <f t="shared" si="6"/>
        <v>1151.5455999999999</v>
      </c>
      <c r="Q37" s="33">
        <f t="shared" si="7"/>
        <v>1.0018065658999999</v>
      </c>
      <c r="R37" s="33" t="str">
        <f t="shared" si="8"/>
        <v/>
      </c>
      <c r="S37" s="33">
        <f t="shared" si="9"/>
        <v>2.01139906897038</v>
      </c>
      <c r="T37" s="33" t="str">
        <f t="shared" si="10"/>
        <v/>
      </c>
      <c r="U37" s="34">
        <f t="shared" si="11"/>
        <v>1.0018065658999999</v>
      </c>
      <c r="V37" s="34">
        <f t="shared" si="12"/>
        <v>1.0218426972179999</v>
      </c>
      <c r="W37" s="34">
        <f t="shared" si="13"/>
        <v>0.98177043458199997</v>
      </c>
      <c r="X37" s="35" t="str">
        <f t="shared" si="14"/>
        <v>OK</v>
      </c>
      <c r="Y37" s="33" t="str">
        <f t="shared" si="15"/>
        <v/>
      </c>
    </row>
    <row r="38" spans="1:32" x14ac:dyDescent="0.25">
      <c r="A38" s="8">
        <v>23</v>
      </c>
      <c r="B38" s="6">
        <v>1150.7910999999999</v>
      </c>
      <c r="C38" s="9">
        <v>100.21340235</v>
      </c>
      <c r="D38" s="10">
        <f t="shared" si="0"/>
        <v>1.0021340235</v>
      </c>
      <c r="E38" s="10" t="str">
        <f t="shared" si="16"/>
        <v/>
      </c>
      <c r="F38" s="10" t="str">
        <f t="shared" si="17"/>
        <v/>
      </c>
      <c r="G38" s="10">
        <f t="shared" si="1"/>
        <v>2.0111040510915226</v>
      </c>
      <c r="H38" s="15" t="str">
        <f t="shared" si="2"/>
        <v>Two Phase</v>
      </c>
      <c r="I38" s="12">
        <f>IF(A38&lt;=$D$10,'QC Protocol'!$C$7+'QC Protocol'!$C$8*B38+'QC Protocol'!$C$9*B38^2+'QC Protocol'!$C$10*B38^3,'QC Protocol'!$C$18+'QC Protocol'!$C$19*B38+'QC Protocol'!$C$20*B38^2)</f>
        <v>2.0096892149844838</v>
      </c>
      <c r="J38" s="12">
        <f t="shared" si="3"/>
        <v>1.4148361070387416E-3</v>
      </c>
      <c r="K38" s="13">
        <f t="shared" si="4"/>
        <v>7.0351213616761513E-2</v>
      </c>
      <c r="L38" s="8" t="str">
        <f>IF(K38="","",IF(A38&lt;=$D$10,IF(K38&lt;'QC Protocol'!$C$26,"PASS",IF(K38&lt;'QC Protocol'!$C$27,"WARN","FAIL")),IF(K38&lt;'QC Protocol'!$C$28,"PASS",IF(K38&lt;'QC Protocol'!$C$29,"WARN","FAIL"))))</f>
        <v>PASS</v>
      </c>
      <c r="O38" s="29">
        <f t="shared" si="5"/>
        <v>23</v>
      </c>
      <c r="P38" s="32">
        <f t="shared" si="6"/>
        <v>1150.7910999999999</v>
      </c>
      <c r="Q38" s="33">
        <f t="shared" si="7"/>
        <v>1.0021340235</v>
      </c>
      <c r="R38" s="33" t="str">
        <f t="shared" si="8"/>
        <v/>
      </c>
      <c r="S38" s="33">
        <f t="shared" si="9"/>
        <v>2.0111040510915226</v>
      </c>
      <c r="T38" s="33" t="str">
        <f t="shared" si="10"/>
        <v/>
      </c>
      <c r="U38" s="34">
        <f t="shared" si="11"/>
        <v>1.0021340235</v>
      </c>
      <c r="V38" s="34">
        <f t="shared" si="12"/>
        <v>1.02217670397</v>
      </c>
      <c r="W38" s="34">
        <f t="shared" si="13"/>
        <v>0.98209134303000001</v>
      </c>
      <c r="X38" s="35" t="str">
        <f t="shared" si="14"/>
        <v>OK</v>
      </c>
      <c r="Y38" s="33" t="str">
        <f t="shared" si="15"/>
        <v/>
      </c>
      <c r="AF38" t="s">
        <v>51</v>
      </c>
    </row>
    <row r="39" spans="1:32" x14ac:dyDescent="0.25">
      <c r="A39" s="8">
        <v>24</v>
      </c>
      <c r="B39" s="6">
        <v>1148.6789000000001</v>
      </c>
      <c r="C39" s="9">
        <v>100.30535297</v>
      </c>
      <c r="D39" s="10">
        <f t="shared" si="0"/>
        <v>1.0030535297000001</v>
      </c>
      <c r="E39" s="10" t="str">
        <f t="shared" si="16"/>
        <v/>
      </c>
      <c r="F39" s="10" t="str">
        <f t="shared" si="17"/>
        <v/>
      </c>
      <c r="G39" s="10">
        <f t="shared" si="1"/>
        <v>2.0102778240400117</v>
      </c>
      <c r="H39" s="15" t="str">
        <f t="shared" si="2"/>
        <v>Two Phase</v>
      </c>
      <c r="I39" s="12">
        <f>IF(A39&lt;=$D$10,'QC Protocol'!$C$7+'QC Protocol'!$C$8*B39+'QC Protocol'!$C$9*B39^2+'QC Protocol'!$C$10*B39^3,'QC Protocol'!$C$18+'QC Protocol'!$C$19*B39+'QC Protocol'!$C$20*B39^2)</f>
        <v>2.008985162849374</v>
      </c>
      <c r="J39" s="12">
        <f t="shared" si="3"/>
        <v>1.2926611906376451E-3</v>
      </c>
      <c r="K39" s="13">
        <f t="shared" si="4"/>
        <v>6.4302614055594162E-2</v>
      </c>
      <c r="L39" s="8" t="str">
        <f>IF(K39="","",IF(A39&lt;=$D$10,IF(K39&lt;'QC Protocol'!$C$26,"PASS",IF(K39&lt;'QC Protocol'!$C$27,"WARN","FAIL")),IF(K39&lt;'QC Protocol'!$C$28,"PASS",IF(K39&lt;'QC Protocol'!$C$29,"WARN","FAIL"))))</f>
        <v>PASS</v>
      </c>
      <c r="O39" s="29">
        <f t="shared" si="5"/>
        <v>24</v>
      </c>
      <c r="P39" s="32">
        <f t="shared" si="6"/>
        <v>1148.6789000000001</v>
      </c>
      <c r="Q39" s="33">
        <f t="shared" si="7"/>
        <v>1.0030535297000001</v>
      </c>
      <c r="R39" s="33" t="str">
        <f t="shared" si="8"/>
        <v/>
      </c>
      <c r="S39" s="33">
        <f t="shared" si="9"/>
        <v>2.0102778240400117</v>
      </c>
      <c r="T39" s="33" t="str">
        <f t="shared" si="10"/>
        <v/>
      </c>
      <c r="U39" s="34">
        <f t="shared" si="11"/>
        <v>1.0030535297000001</v>
      </c>
      <c r="V39" s="34">
        <f t="shared" si="12"/>
        <v>1.0231146002940001</v>
      </c>
      <c r="W39" s="34">
        <f t="shared" si="13"/>
        <v>0.98299245910600008</v>
      </c>
      <c r="X39" s="35" t="str">
        <f t="shared" si="14"/>
        <v>OK</v>
      </c>
      <c r="Y39" s="33" t="str">
        <f t="shared" si="15"/>
        <v/>
      </c>
    </row>
    <row r="40" spans="1:32" x14ac:dyDescent="0.25">
      <c r="A40" s="8">
        <v>25</v>
      </c>
      <c r="B40" s="6">
        <v>1147.4115999999999</v>
      </c>
      <c r="C40" s="9">
        <v>100.3607212</v>
      </c>
      <c r="D40" s="10">
        <f t="shared" si="0"/>
        <v>1.0036072119999999</v>
      </c>
      <c r="E40" s="10" t="str">
        <f t="shared" si="16"/>
        <v/>
      </c>
      <c r="F40" s="10" t="str">
        <f t="shared" si="17"/>
        <v/>
      </c>
      <c r="G40" s="10">
        <f t="shared" si="1"/>
        <v>2.0097817435972019</v>
      </c>
      <c r="H40" s="15" t="str">
        <f t="shared" si="2"/>
        <v>Two Phase</v>
      </c>
      <c r="I40" s="12">
        <f>IF(A40&lt;=$D$10,'QC Protocol'!$C$7+'QC Protocol'!$C$8*B40+'QC Protocol'!$C$9*B40^2+'QC Protocol'!$C$10*B40^3,'QC Protocol'!$C$18+'QC Protocol'!$C$19*B40+'QC Protocol'!$C$20*B40^2)</f>
        <v>2.0085617927084622</v>
      </c>
      <c r="J40" s="12">
        <f t="shared" si="3"/>
        <v>1.2199508887396071E-3</v>
      </c>
      <c r="K40" s="13">
        <f t="shared" si="4"/>
        <v>6.0700665265079064E-2</v>
      </c>
      <c r="L40" s="8" t="str">
        <f>IF(K40="","",IF(A40&lt;=$D$10,IF(K40&lt;'QC Protocol'!$C$26,"PASS",IF(K40&lt;'QC Protocol'!$C$27,"WARN","FAIL")),IF(K40&lt;'QC Protocol'!$C$28,"PASS",IF(K40&lt;'QC Protocol'!$C$29,"WARN","FAIL"))))</f>
        <v>PASS</v>
      </c>
      <c r="O40" s="29">
        <f t="shared" si="5"/>
        <v>25</v>
      </c>
      <c r="P40" s="32">
        <f t="shared" si="6"/>
        <v>1147.4115999999999</v>
      </c>
      <c r="Q40" s="33">
        <f t="shared" si="7"/>
        <v>1.0036072119999999</v>
      </c>
      <c r="R40" s="33" t="str">
        <f t="shared" si="8"/>
        <v/>
      </c>
      <c r="S40" s="33">
        <f t="shared" si="9"/>
        <v>2.0097817435972019</v>
      </c>
      <c r="T40" s="33" t="str">
        <f t="shared" si="10"/>
        <v/>
      </c>
      <c r="U40" s="34">
        <f t="shared" si="11"/>
        <v>1.0036072119999999</v>
      </c>
      <c r="V40" s="34">
        <f t="shared" si="12"/>
        <v>1.0236793562399999</v>
      </c>
      <c r="W40" s="34">
        <f t="shared" si="13"/>
        <v>0.98353506775999988</v>
      </c>
      <c r="X40" s="35" t="str">
        <f t="shared" si="14"/>
        <v>OK</v>
      </c>
      <c r="Y40" s="33" t="str">
        <f t="shared" si="15"/>
        <v/>
      </c>
    </row>
    <row r="41" spans="1:32" x14ac:dyDescent="0.25">
      <c r="A41" s="8">
        <v>26</v>
      </c>
      <c r="B41" s="6">
        <v>1142.4438</v>
      </c>
      <c r="C41" s="9">
        <v>100.57921268</v>
      </c>
      <c r="D41" s="10">
        <f t="shared" si="0"/>
        <v>1.0057921268000001</v>
      </c>
      <c r="E41" s="10" t="str">
        <f t="shared" si="16"/>
        <v/>
      </c>
      <c r="F41" s="10" t="str">
        <f t="shared" si="17"/>
        <v/>
      </c>
      <c r="G41" s="10">
        <f t="shared" si="1"/>
        <v>2.0078343496977471</v>
      </c>
      <c r="H41" s="15" t="str">
        <f t="shared" si="2"/>
        <v>Two Phase</v>
      </c>
      <c r="I41" s="12">
        <f>IF(A41&lt;=$D$10,'QC Protocol'!$C$7+'QC Protocol'!$C$8*B41+'QC Protocol'!$C$9*B41^2+'QC Protocol'!$C$10*B41^3,'QC Protocol'!$C$18+'QC Protocol'!$C$19*B41+'QC Protocol'!$C$20*B41^2)</f>
        <v>2.0068953487833254</v>
      </c>
      <c r="J41" s="12">
        <f t="shared" si="3"/>
        <v>9.3900091442167266E-4</v>
      </c>
      <c r="K41" s="13">
        <f t="shared" si="4"/>
        <v>4.6766851785508441E-2</v>
      </c>
      <c r="L41" s="8" t="str">
        <f>IF(K41="","",IF(A41&lt;=$D$10,IF(K41&lt;'QC Protocol'!$C$26,"PASS",IF(K41&lt;'QC Protocol'!$C$27,"WARN","FAIL")),IF(K41&lt;'QC Protocol'!$C$28,"PASS",IF(K41&lt;'QC Protocol'!$C$29,"WARN","FAIL"))))</f>
        <v>PASS</v>
      </c>
      <c r="O41" s="29">
        <f t="shared" si="5"/>
        <v>26</v>
      </c>
      <c r="P41" s="32">
        <f t="shared" si="6"/>
        <v>1142.4438</v>
      </c>
      <c r="Q41" s="33">
        <f t="shared" si="7"/>
        <v>1.0057921268000001</v>
      </c>
      <c r="R41" s="33" t="str">
        <f t="shared" si="8"/>
        <v/>
      </c>
      <c r="S41" s="33">
        <f t="shared" si="9"/>
        <v>2.0078343496977471</v>
      </c>
      <c r="T41" s="33" t="str">
        <f t="shared" si="10"/>
        <v/>
      </c>
      <c r="U41" s="34">
        <f t="shared" si="11"/>
        <v>1.0057921268000001</v>
      </c>
      <c r="V41" s="34">
        <f t="shared" si="12"/>
        <v>1.025907969336</v>
      </c>
      <c r="W41" s="34">
        <f t="shared" si="13"/>
        <v>0.985676284264</v>
      </c>
      <c r="X41" s="35" t="str">
        <f t="shared" si="14"/>
        <v>OK</v>
      </c>
      <c r="Y41" s="33" t="str">
        <f t="shared" si="15"/>
        <v/>
      </c>
    </row>
    <row r="42" spans="1:32" x14ac:dyDescent="0.25">
      <c r="A42" s="8">
        <v>27</v>
      </c>
      <c r="B42" s="6">
        <v>1138.6956</v>
      </c>
      <c r="C42" s="9">
        <v>100.74560678</v>
      </c>
      <c r="D42" s="10">
        <f t="shared" si="0"/>
        <v>1.0074560678</v>
      </c>
      <c r="E42" s="10" t="str">
        <f t="shared" si="16"/>
        <v/>
      </c>
      <c r="F42" s="10" t="str">
        <f t="shared" si="17"/>
        <v/>
      </c>
      <c r="G42" s="10">
        <f t="shared" si="1"/>
        <v>2.0063622599158757</v>
      </c>
      <c r="H42" s="15" t="str">
        <f t="shared" si="2"/>
        <v>Two Phase</v>
      </c>
      <c r="I42" s="12">
        <f>IF(A42&lt;=$D$10,'QC Protocol'!$C$7+'QC Protocol'!$C$8*B42+'QC Protocol'!$C$9*B42^2+'QC Protocol'!$C$10*B42^3,'QC Protocol'!$C$18+'QC Protocol'!$C$19*B42+'QC Protocol'!$C$20*B42^2)</f>
        <v>2.005630806120466</v>
      </c>
      <c r="J42" s="12">
        <f t="shared" si="3"/>
        <v>7.314537954097311E-4</v>
      </c>
      <c r="K42" s="13">
        <f t="shared" si="4"/>
        <v>3.6456716218356298E-2</v>
      </c>
      <c r="L42" s="8" t="str">
        <f>IF(K42="","",IF(A42&lt;=$D$10,IF(K42&lt;'QC Protocol'!$C$26,"PASS",IF(K42&lt;'QC Protocol'!$C$27,"WARN","FAIL")),IF(K42&lt;'QC Protocol'!$C$28,"PASS",IF(K42&lt;'QC Protocol'!$C$29,"WARN","FAIL"))))</f>
        <v>PASS</v>
      </c>
      <c r="O42" s="29">
        <f t="shared" si="5"/>
        <v>27</v>
      </c>
      <c r="P42" s="32">
        <f t="shared" si="6"/>
        <v>1138.6956</v>
      </c>
      <c r="Q42" s="33">
        <f t="shared" si="7"/>
        <v>1.0074560678</v>
      </c>
      <c r="R42" s="33" t="str">
        <f t="shared" si="8"/>
        <v/>
      </c>
      <c r="S42" s="33">
        <f t="shared" si="9"/>
        <v>2.0063622599158757</v>
      </c>
      <c r="T42" s="33" t="str">
        <f t="shared" si="10"/>
        <v/>
      </c>
      <c r="U42" s="34">
        <f t="shared" si="11"/>
        <v>1.0074560678</v>
      </c>
      <c r="V42" s="34">
        <f t="shared" si="12"/>
        <v>1.0276051891560001</v>
      </c>
      <c r="W42" s="34">
        <f t="shared" si="13"/>
        <v>0.98730694644399997</v>
      </c>
      <c r="X42" s="35" t="str">
        <f t="shared" si="14"/>
        <v>OK</v>
      </c>
      <c r="Y42" s="33" t="str">
        <f t="shared" si="15"/>
        <v/>
      </c>
    </row>
    <row r="43" spans="1:32" x14ac:dyDescent="0.25">
      <c r="A43" s="8">
        <v>28</v>
      </c>
      <c r="B43" s="6">
        <v>1127.7299</v>
      </c>
      <c r="C43" s="9">
        <v>101.24017058</v>
      </c>
      <c r="D43" s="10">
        <f t="shared" si="0"/>
        <v>1.0124017057999999</v>
      </c>
      <c r="E43" s="10" t="str">
        <f t="shared" si="16"/>
        <v/>
      </c>
      <c r="F43" s="10" t="str">
        <f t="shared" si="17"/>
        <v/>
      </c>
      <c r="G43" s="10">
        <f t="shared" si="1"/>
        <v>2.0020414398067468</v>
      </c>
      <c r="H43" s="15" t="str">
        <f t="shared" si="2"/>
        <v>Two Phase</v>
      </c>
      <c r="I43" s="12">
        <f>IF(A43&lt;=$D$10,'QC Protocol'!$C$7+'QC Protocol'!$C$8*B43+'QC Protocol'!$C$9*B43^2+'QC Protocol'!$C$10*B43^3,'QC Protocol'!$C$18+'QC Protocol'!$C$19*B43+'QC Protocol'!$C$20*B43^2)</f>
        <v>2.0018956505649044</v>
      </c>
      <c r="J43" s="12">
        <f t="shared" si="3"/>
        <v>1.4578924184238673E-4</v>
      </c>
      <c r="K43" s="13">
        <f t="shared" si="4"/>
        <v>7.2820291799983667E-3</v>
      </c>
      <c r="L43" s="8" t="str">
        <f>IF(K43="","",IF(A43&lt;=$D$10,IF(K43&lt;'QC Protocol'!$C$26,"PASS",IF(K43&lt;'QC Protocol'!$C$27,"WARN","FAIL")),IF(K43&lt;'QC Protocol'!$C$28,"PASS",IF(K43&lt;'QC Protocol'!$C$29,"WARN","FAIL"))))</f>
        <v>PASS</v>
      </c>
      <c r="O43" s="29">
        <f t="shared" si="5"/>
        <v>28</v>
      </c>
      <c r="P43" s="32">
        <f t="shared" si="6"/>
        <v>1127.7299</v>
      </c>
      <c r="Q43" s="33">
        <f t="shared" si="7"/>
        <v>1.0124017057999999</v>
      </c>
      <c r="R43" s="33" t="str">
        <f t="shared" si="8"/>
        <v/>
      </c>
      <c r="S43" s="33">
        <f t="shared" si="9"/>
        <v>2.0020414398067468</v>
      </c>
      <c r="T43" s="33" t="str">
        <f t="shared" si="10"/>
        <v/>
      </c>
      <c r="U43" s="34">
        <f t="shared" si="11"/>
        <v>1.0124017057999999</v>
      </c>
      <c r="V43" s="34">
        <f t="shared" si="12"/>
        <v>1.032649739916</v>
      </c>
      <c r="W43" s="34">
        <f t="shared" si="13"/>
        <v>0.99215367168399982</v>
      </c>
      <c r="X43" s="35" t="str">
        <f t="shared" si="14"/>
        <v>OK</v>
      </c>
      <c r="Y43" s="33" t="str">
        <f t="shared" si="15"/>
        <v/>
      </c>
    </row>
    <row r="44" spans="1:32" x14ac:dyDescent="0.25">
      <c r="A44" s="8">
        <v>29</v>
      </c>
      <c r="B44" s="6">
        <v>1107.0789</v>
      </c>
      <c r="C44" s="9">
        <v>102.20405461</v>
      </c>
      <c r="D44" s="10">
        <f t="shared" si="0"/>
        <v>1.0220405460999999</v>
      </c>
      <c r="E44" s="10" t="str">
        <f t="shared" si="16"/>
        <v/>
      </c>
      <c r="F44" s="10" t="str">
        <f t="shared" si="17"/>
        <v/>
      </c>
      <c r="G44" s="10">
        <f t="shared" si="1"/>
        <v>1.9938465890685613</v>
      </c>
      <c r="H44" s="15" t="str">
        <f t="shared" si="2"/>
        <v>Two Phase</v>
      </c>
      <c r="I44" s="12">
        <f>IF(A44&lt;=$D$10,'QC Protocol'!$C$7+'QC Protocol'!$C$8*B44+'QC Protocol'!$C$9*B44^2+'QC Protocol'!$C$10*B44^3,'QC Protocol'!$C$18+'QC Protocol'!$C$19*B44+'QC Protocol'!$C$20*B44^2)</f>
        <v>1.994717326564416</v>
      </c>
      <c r="J44" s="12">
        <f t="shared" si="3"/>
        <v>-8.7073749585475646E-4</v>
      </c>
      <c r="K44" s="13">
        <f t="shared" si="4"/>
        <v>4.3671238330403706E-2</v>
      </c>
      <c r="L44" s="8" t="str">
        <f>IF(K44="","",IF(A44&lt;=$D$10,IF(K44&lt;'QC Protocol'!$C$26,"PASS",IF(K44&lt;'QC Protocol'!$C$27,"WARN","FAIL")),IF(K44&lt;'QC Protocol'!$C$28,"PASS",IF(K44&lt;'QC Protocol'!$C$29,"WARN","FAIL"))))</f>
        <v>PASS</v>
      </c>
      <c r="O44" s="29">
        <f t="shared" si="5"/>
        <v>29</v>
      </c>
      <c r="P44" s="32">
        <f t="shared" si="6"/>
        <v>1107.0789</v>
      </c>
      <c r="Q44" s="33">
        <f t="shared" si="7"/>
        <v>1.0220405460999999</v>
      </c>
      <c r="R44" s="33" t="str">
        <f t="shared" si="8"/>
        <v/>
      </c>
      <c r="S44" s="33">
        <f t="shared" si="9"/>
        <v>1.9938465890685613</v>
      </c>
      <c r="T44" s="33" t="str">
        <f t="shared" si="10"/>
        <v/>
      </c>
      <c r="U44" s="34">
        <f t="shared" si="11"/>
        <v>1.0220405460999999</v>
      </c>
      <c r="V44" s="34">
        <f t="shared" si="12"/>
        <v>1.042481357022</v>
      </c>
      <c r="W44" s="34">
        <f t="shared" si="13"/>
        <v>1.0015997351779999</v>
      </c>
      <c r="X44" s="35" t="str">
        <f t="shared" si="14"/>
        <v>OK</v>
      </c>
      <c r="Y44" s="33" t="str">
        <f t="shared" si="15"/>
        <v/>
      </c>
    </row>
    <row r="45" spans="1:32" x14ac:dyDescent="0.25">
      <c r="A45" s="8">
        <v>30</v>
      </c>
      <c r="B45" s="6">
        <v>1066.4922999999999</v>
      </c>
      <c r="C45" s="9">
        <v>104.23127391</v>
      </c>
      <c r="D45" s="10">
        <f t="shared" si="0"/>
        <v>1.0423127391</v>
      </c>
      <c r="E45" s="10" t="str">
        <f t="shared" si="16"/>
        <v/>
      </c>
      <c r="F45" s="10" t="str">
        <f t="shared" si="17"/>
        <v/>
      </c>
      <c r="G45" s="10">
        <f t="shared" si="1"/>
        <v>1.9775137137779255</v>
      </c>
      <c r="H45" s="15" t="str">
        <f t="shared" si="2"/>
        <v>Two Phase</v>
      </c>
      <c r="I45" s="12">
        <f>IF(A45&lt;=$D$10,'QC Protocol'!$C$7+'QC Protocol'!$C$8*B45+'QC Protocol'!$C$9*B45^2+'QC Protocol'!$C$10*B45^3,'QC Protocol'!$C$18+'QC Protocol'!$C$19*B45+'QC Protocol'!$C$20*B45^2)</f>
        <v>1.9800606432186734</v>
      </c>
      <c r="J45" s="12">
        <f t="shared" si="3"/>
        <v>-2.5469294407478582E-3</v>
      </c>
      <c r="K45" s="13">
        <f t="shared" si="4"/>
        <v>0.12879452734019714</v>
      </c>
      <c r="L45" s="8" t="str">
        <f>IF(K45="","",IF(A45&lt;=$D$10,IF(K45&lt;'QC Protocol'!$C$26,"PASS",IF(K45&lt;'QC Protocol'!$C$27,"WARN","FAIL")),IF(K45&lt;'QC Protocol'!$C$28,"PASS",IF(K45&lt;'QC Protocol'!$C$29,"WARN","FAIL"))))</f>
        <v>PASS</v>
      </c>
      <c r="O45" s="29">
        <f t="shared" si="5"/>
        <v>30</v>
      </c>
      <c r="P45" s="32">
        <f t="shared" si="6"/>
        <v>1066.4922999999999</v>
      </c>
      <c r="Q45" s="33">
        <f t="shared" si="7"/>
        <v>1.0423127391</v>
      </c>
      <c r="R45" s="33" t="str">
        <f t="shared" si="8"/>
        <v/>
      </c>
      <c r="S45" s="33">
        <f t="shared" si="9"/>
        <v>1.9775137137779255</v>
      </c>
      <c r="T45" s="33" t="str">
        <f t="shared" si="10"/>
        <v/>
      </c>
      <c r="U45" s="34">
        <f t="shared" si="11"/>
        <v>1.0423127391</v>
      </c>
      <c r="V45" s="34">
        <f t="shared" si="12"/>
        <v>1.0631589938820001</v>
      </c>
      <c r="W45" s="34">
        <f t="shared" si="13"/>
        <v>1.0214664843179999</v>
      </c>
      <c r="X45" s="35" t="str">
        <f t="shared" si="14"/>
        <v>OK</v>
      </c>
      <c r="Y45" s="33" t="str">
        <f t="shared" si="15"/>
        <v/>
      </c>
    </row>
    <row r="46" spans="1:32" x14ac:dyDescent="0.25">
      <c r="A46" s="8">
        <v>31</v>
      </c>
      <c r="B46" s="6">
        <v>996.22199999999998</v>
      </c>
      <c r="C46" s="9">
        <v>108.21733196</v>
      </c>
      <c r="D46" s="10">
        <f t="shared" si="0"/>
        <v>1.0821733195999999</v>
      </c>
      <c r="E46" s="10" t="str">
        <f t="shared" si="16"/>
        <v/>
      </c>
      <c r="F46" s="10" t="str">
        <f t="shared" si="17"/>
        <v/>
      </c>
      <c r="G46" s="10">
        <f t="shared" si="1"/>
        <v>1.9484780137930287</v>
      </c>
      <c r="H46" s="15" t="str">
        <f t="shared" si="2"/>
        <v>Two Phase</v>
      </c>
      <c r="I46" s="12">
        <f>IF(A46&lt;=$D$10,'QC Protocol'!$C$7+'QC Protocol'!$C$8*B46+'QC Protocol'!$C$9*B46^2+'QC Protocol'!$C$10*B46^3,'QC Protocol'!$C$18+'QC Protocol'!$C$19*B46+'QC Protocol'!$C$20*B46^2)</f>
        <v>1.9529647518177142</v>
      </c>
      <c r="J46" s="12">
        <f t="shared" si="3"/>
        <v>-4.486738024685577E-3</v>
      </c>
      <c r="K46" s="13">
        <f t="shared" si="4"/>
        <v>0.23026885563627239</v>
      </c>
      <c r="L46" s="8" t="str">
        <f>IF(K46="","",IF(A46&lt;=$D$10,IF(K46&lt;'QC Protocol'!$C$26,"PASS",IF(K46&lt;'QC Protocol'!$C$27,"WARN","FAIL")),IF(K46&lt;'QC Protocol'!$C$28,"PASS",IF(K46&lt;'QC Protocol'!$C$29,"WARN","FAIL"))))</f>
        <v>PASS</v>
      </c>
      <c r="O46" s="29">
        <f t="shared" si="5"/>
        <v>31</v>
      </c>
      <c r="P46" s="32">
        <f t="shared" si="6"/>
        <v>996.22199999999998</v>
      </c>
      <c r="Q46" s="33">
        <f t="shared" si="7"/>
        <v>1.0821733195999999</v>
      </c>
      <c r="R46" s="33" t="str">
        <f t="shared" si="8"/>
        <v/>
      </c>
      <c r="S46" s="33">
        <f t="shared" si="9"/>
        <v>1.9484780137930287</v>
      </c>
      <c r="T46" s="33" t="str">
        <f t="shared" si="10"/>
        <v/>
      </c>
      <c r="U46" s="34">
        <f t="shared" si="11"/>
        <v>1.0821733195999999</v>
      </c>
      <c r="V46" s="34">
        <f t="shared" si="12"/>
        <v>1.1038167859919998</v>
      </c>
      <c r="W46" s="34">
        <f t="shared" si="13"/>
        <v>1.0605298532079999</v>
      </c>
      <c r="X46" s="35" t="str">
        <f t="shared" si="14"/>
        <v>OK</v>
      </c>
      <c r="Y46" s="33" t="str">
        <f t="shared" si="15"/>
        <v/>
      </c>
    </row>
    <row r="47" spans="1:32" x14ac:dyDescent="0.25">
      <c r="A47" s="8">
        <v>32</v>
      </c>
      <c r="B47" s="6">
        <v>883.04759999999999</v>
      </c>
      <c r="C47" s="9">
        <v>116.25714743</v>
      </c>
      <c r="D47" s="10">
        <f t="shared" si="0"/>
        <v>1.1625714743</v>
      </c>
      <c r="E47" s="10" t="str">
        <f t="shared" si="16"/>
        <v/>
      </c>
      <c r="F47" s="10" t="str">
        <f t="shared" si="17"/>
        <v/>
      </c>
      <c r="G47" s="10">
        <f t="shared" si="1"/>
        <v>1.8994534250558652</v>
      </c>
      <c r="H47" s="15" t="str">
        <f t="shared" si="2"/>
        <v>Two Phase</v>
      </c>
      <c r="I47" s="12">
        <f>IF(A47&lt;=$D$10,'QC Protocol'!$C$7+'QC Protocol'!$C$8*B47+'QC Protocol'!$C$9*B47^2+'QC Protocol'!$C$10*B47^3,'QC Protocol'!$C$18+'QC Protocol'!$C$19*B47+'QC Protocol'!$C$20*B47^2)</f>
        <v>1.9047417669841278</v>
      </c>
      <c r="J47" s="12">
        <f t="shared" si="3"/>
        <v>-5.2883419282625521E-3</v>
      </c>
      <c r="K47" s="13">
        <f t="shared" si="4"/>
        <v>0.27841387730299394</v>
      </c>
      <c r="L47" s="8" t="str">
        <f>IF(K47="","",IF(A47&lt;=$D$10,IF(K47&lt;'QC Protocol'!$C$26,"PASS",IF(K47&lt;'QC Protocol'!$C$27,"WARN","FAIL")),IF(K47&lt;'QC Protocol'!$C$28,"PASS",IF(K47&lt;'QC Protocol'!$C$29,"WARN","FAIL"))))</f>
        <v>PASS</v>
      </c>
      <c r="O47" s="29">
        <f t="shared" si="5"/>
        <v>32</v>
      </c>
      <c r="P47" s="32">
        <f t="shared" si="6"/>
        <v>883.04759999999999</v>
      </c>
      <c r="Q47" s="33">
        <f t="shared" si="7"/>
        <v>1.1625714743</v>
      </c>
      <c r="R47" s="33" t="str">
        <f t="shared" si="8"/>
        <v/>
      </c>
      <c r="S47" s="33">
        <f t="shared" si="9"/>
        <v>1.8994534250558652</v>
      </c>
      <c r="T47" s="33" t="str">
        <f t="shared" si="10"/>
        <v/>
      </c>
      <c r="U47" s="34">
        <f t="shared" si="11"/>
        <v>1.1625714743</v>
      </c>
      <c r="V47" s="34">
        <f t="shared" si="12"/>
        <v>1.185822903786</v>
      </c>
      <c r="W47" s="34">
        <f t="shared" si="13"/>
        <v>1.139320044814</v>
      </c>
      <c r="X47" s="35" t="str">
        <f t="shared" si="14"/>
        <v>OK</v>
      </c>
      <c r="Y47" s="33" t="str">
        <f t="shared" si="15"/>
        <v/>
      </c>
    </row>
    <row r="48" spans="1:32" x14ac:dyDescent="0.25">
      <c r="A48" s="8">
        <v>33</v>
      </c>
      <c r="B48" s="6">
        <v>726.87980000000005</v>
      </c>
      <c r="C48" s="9">
        <v>132.30581577999999</v>
      </c>
      <c r="D48" s="10">
        <f t="shared" si="0"/>
        <v>1.3230581577999998</v>
      </c>
      <c r="E48" s="10" t="str">
        <f t="shared" si="16"/>
        <v/>
      </c>
      <c r="F48" s="10" t="str">
        <f t="shared" si="17"/>
        <v/>
      </c>
      <c r="G48" s="10">
        <f t="shared" si="1"/>
        <v>1.8262587289730097</v>
      </c>
      <c r="H48" s="15" t="str">
        <f t="shared" si="2"/>
        <v>Two Phase</v>
      </c>
      <c r="I48" s="12">
        <f>IF(A48&lt;=$D$10,'QC Protocol'!$C$7+'QC Protocol'!$C$8*B48+'QC Protocol'!$C$9*B48^2+'QC Protocol'!$C$10*B48^3,'QC Protocol'!$C$18+'QC Protocol'!$C$19*B48+'QC Protocol'!$C$20*B48^2)</f>
        <v>1.8289133406384681</v>
      </c>
      <c r="J48" s="12">
        <f t="shared" si="3"/>
        <v>-2.6546116654584395E-3</v>
      </c>
      <c r="K48" s="13">
        <f t="shared" si="4"/>
        <v>0.14535791798521622</v>
      </c>
      <c r="L48" s="8" t="str">
        <f>IF(K48="","",IF(A48&lt;=$D$10,IF(K48&lt;'QC Protocol'!$C$26,"PASS",IF(K48&lt;'QC Protocol'!$C$27,"WARN","FAIL")),IF(K48&lt;'QC Protocol'!$C$28,"PASS",IF(K48&lt;'QC Protocol'!$C$29,"WARN","FAIL"))))</f>
        <v>PASS</v>
      </c>
      <c r="O48" s="29">
        <f t="shared" si="5"/>
        <v>33</v>
      </c>
      <c r="P48" s="32">
        <f t="shared" si="6"/>
        <v>726.87980000000005</v>
      </c>
      <c r="Q48" s="33">
        <f t="shared" si="7"/>
        <v>1.3230581577999998</v>
      </c>
      <c r="R48" s="33" t="str">
        <f t="shared" si="8"/>
        <v/>
      </c>
      <c r="S48" s="33">
        <f t="shared" si="9"/>
        <v>1.8262587289730097</v>
      </c>
      <c r="T48" s="33" t="str">
        <f t="shared" si="10"/>
        <v/>
      </c>
      <c r="U48" s="34">
        <f t="shared" si="11"/>
        <v>1.3230581577999998</v>
      </c>
      <c r="V48" s="34">
        <f t="shared" si="12"/>
        <v>1.3495193209559999</v>
      </c>
      <c r="W48" s="34">
        <f t="shared" si="13"/>
        <v>1.2965969946439997</v>
      </c>
      <c r="X48" s="35" t="str">
        <f t="shared" si="14"/>
        <v>OK</v>
      </c>
      <c r="Y48" s="33" t="str">
        <f t="shared" si="15"/>
        <v/>
      </c>
    </row>
    <row r="49" spans="1:25" x14ac:dyDescent="0.25">
      <c r="A49" s="8">
        <v>34</v>
      </c>
      <c r="B49" s="6">
        <v>581.85440000000006</v>
      </c>
      <c r="C49" s="9">
        <v>156.33538736</v>
      </c>
      <c r="D49" s="10">
        <f t="shared" si="0"/>
        <v>1.5633538735999999</v>
      </c>
      <c r="E49" s="10" t="str">
        <f t="shared" si="16"/>
        <v/>
      </c>
      <c r="F49" s="10" t="str">
        <f t="shared" si="17"/>
        <v/>
      </c>
      <c r="G49" s="10">
        <f t="shared" si="1"/>
        <v>1.7507420066422137</v>
      </c>
      <c r="H49" s="15" t="str">
        <f t="shared" si="2"/>
        <v>Two Phase</v>
      </c>
      <c r="I49" s="12">
        <f>IF(A49&lt;=$D$10,'QC Protocol'!$C$7+'QC Protocol'!$C$8*B49+'QC Protocol'!$C$9*B49^2+'QC Protocol'!$C$10*B49^3,'QC Protocol'!$C$18+'QC Protocol'!$C$19*B49+'QC Protocol'!$C$20*B49^2)</f>
        <v>1.7488517706417184</v>
      </c>
      <c r="J49" s="12">
        <f t="shared" si="3"/>
        <v>1.8902360004953156E-3</v>
      </c>
      <c r="K49" s="13">
        <f t="shared" si="4"/>
        <v>0.10796770702501395</v>
      </c>
      <c r="L49" s="8" t="str">
        <f>IF(K49="","",IF(A49&lt;=$D$10,IF(K49&lt;'QC Protocol'!$C$26,"PASS",IF(K49&lt;'QC Protocol'!$C$27,"WARN","FAIL")),IF(K49&lt;'QC Protocol'!$C$28,"PASS",IF(K49&lt;'QC Protocol'!$C$29,"WARN","FAIL"))))</f>
        <v>PASS</v>
      </c>
      <c r="O49" s="29">
        <f t="shared" si="5"/>
        <v>34</v>
      </c>
      <c r="P49" s="32">
        <f t="shared" si="6"/>
        <v>581.85440000000006</v>
      </c>
      <c r="Q49" s="33">
        <f t="shared" si="7"/>
        <v>1.5633538735999999</v>
      </c>
      <c r="R49" s="33" t="str">
        <f t="shared" si="8"/>
        <v/>
      </c>
      <c r="S49" s="33">
        <f t="shared" si="9"/>
        <v>1.7507420066422137</v>
      </c>
      <c r="T49" s="33" t="str">
        <f t="shared" si="10"/>
        <v/>
      </c>
      <c r="U49" s="34">
        <f t="shared" si="11"/>
        <v>1.5633538735999999</v>
      </c>
      <c r="V49" s="34">
        <f t="shared" si="12"/>
        <v>1.594620951072</v>
      </c>
      <c r="W49" s="34">
        <f t="shared" si="13"/>
        <v>1.5320867961279998</v>
      </c>
      <c r="X49" s="35" t="str">
        <f t="shared" si="14"/>
        <v>OK</v>
      </c>
      <c r="Y49" s="33" t="str">
        <f t="shared" si="15"/>
        <v/>
      </c>
    </row>
    <row r="50" spans="1:25" x14ac:dyDescent="0.25">
      <c r="A50" s="8">
        <v>35</v>
      </c>
      <c r="B50" s="6">
        <v>464.68110000000001</v>
      </c>
      <c r="C50" s="9">
        <v>188.39575353000001</v>
      </c>
      <c r="D50" s="10">
        <f t="shared" si="0"/>
        <v>1.8839575353</v>
      </c>
      <c r="E50" s="10" t="str">
        <f t="shared" si="16"/>
        <v/>
      </c>
      <c r="F50" s="10" t="str">
        <f t="shared" si="17"/>
        <v/>
      </c>
      <c r="G50" s="10">
        <f t="shared" si="1"/>
        <v>1.6823733063921877</v>
      </c>
      <c r="H50" s="15" t="str">
        <f t="shared" si="2"/>
        <v>Two Phase</v>
      </c>
      <c r="I50" s="12">
        <f>IF(A50&lt;=$D$10,'QC Protocol'!$C$7+'QC Protocol'!$C$8*B50+'QC Protocol'!$C$9*B50^2+'QC Protocol'!$C$10*B50^3,'QC Protocol'!$C$18+'QC Protocol'!$C$19*B50+'QC Protocol'!$C$20*B50^2)</f>
        <v>1.677383335458537</v>
      </c>
      <c r="J50" s="12">
        <f t="shared" si="3"/>
        <v>4.9899709336507225E-3</v>
      </c>
      <c r="K50" s="13">
        <f t="shared" si="4"/>
        <v>0.29660307344935261</v>
      </c>
      <c r="L50" s="8" t="str">
        <f>IF(K50="","",IF(A50&lt;=$D$10,IF(K50&lt;'QC Protocol'!$C$26,"PASS",IF(K50&lt;'QC Protocol'!$C$27,"WARN","FAIL")),IF(K50&lt;'QC Protocol'!$C$28,"PASS",IF(K50&lt;'QC Protocol'!$C$29,"WARN","FAIL"))))</f>
        <v>PASS</v>
      </c>
      <c r="O50" s="29">
        <f t="shared" si="5"/>
        <v>35</v>
      </c>
      <c r="P50" s="32">
        <f t="shared" si="6"/>
        <v>464.68110000000001</v>
      </c>
      <c r="Q50" s="33">
        <f t="shared" si="7"/>
        <v>1.8839575353</v>
      </c>
      <c r="R50" s="33" t="str">
        <f t="shared" si="8"/>
        <v/>
      </c>
      <c r="S50" s="33">
        <f t="shared" si="9"/>
        <v>1.6823733063921877</v>
      </c>
      <c r="T50" s="33" t="str">
        <f t="shared" si="10"/>
        <v/>
      </c>
      <c r="U50" s="34">
        <f t="shared" si="11"/>
        <v>1.8839575353</v>
      </c>
      <c r="V50" s="34">
        <f t="shared" si="12"/>
        <v>1.9216366860060001</v>
      </c>
      <c r="W50" s="34">
        <f t="shared" si="13"/>
        <v>1.8462783845939998</v>
      </c>
      <c r="X50" s="35" t="str">
        <f t="shared" si="14"/>
        <v>OK</v>
      </c>
      <c r="Y50" s="33" t="str">
        <f t="shared" si="15"/>
        <v/>
      </c>
    </row>
    <row r="51" spans="1:25" x14ac:dyDescent="0.25">
      <c r="A51" s="8">
        <v>36</v>
      </c>
      <c r="B51" s="6">
        <v>389.48180000000002</v>
      </c>
      <c r="C51" s="9">
        <v>220.42188615000001</v>
      </c>
      <c r="D51" s="10">
        <f t="shared" si="0"/>
        <v>2.2042188615000002</v>
      </c>
      <c r="E51" s="10" t="str">
        <f t="shared" si="16"/>
        <v/>
      </c>
      <c r="F51" s="10" t="str">
        <f t="shared" si="17"/>
        <v/>
      </c>
      <c r="G51" s="10">
        <f t="shared" si="1"/>
        <v>1.6337171709742262</v>
      </c>
      <c r="H51" s="15" t="str">
        <f t="shared" si="2"/>
        <v>Two Phase</v>
      </c>
      <c r="I51" s="12">
        <f>IF(A51&lt;=$D$10,'QC Protocol'!$C$7+'QC Protocol'!$C$8*B51+'QC Protocol'!$C$9*B51^2+'QC Protocol'!$C$10*B51^3,'QC Protocol'!$C$18+'QC Protocol'!$C$19*B51+'QC Protocol'!$C$20*B51^2)</f>
        <v>1.6283226989647765</v>
      </c>
      <c r="J51" s="12">
        <f t="shared" si="3"/>
        <v>5.3944720094496468E-3</v>
      </c>
      <c r="K51" s="13">
        <f t="shared" si="4"/>
        <v>0.33019619951920987</v>
      </c>
      <c r="L51" s="8" t="str">
        <f>IF(K51="","",IF(A51&lt;=$D$10,IF(K51&lt;'QC Protocol'!$C$26,"PASS",IF(K51&lt;'QC Protocol'!$C$27,"WARN","FAIL")),IF(K51&lt;'QC Protocol'!$C$28,"PASS",IF(K51&lt;'QC Protocol'!$C$29,"WARN","FAIL"))))</f>
        <v>PASS</v>
      </c>
      <c r="O51" s="29">
        <f t="shared" si="5"/>
        <v>36</v>
      </c>
      <c r="P51" s="32">
        <f t="shared" si="6"/>
        <v>389.48180000000002</v>
      </c>
      <c r="Q51" s="33">
        <f t="shared" si="7"/>
        <v>2.2042188615000002</v>
      </c>
      <c r="R51" s="33" t="str">
        <f t="shared" si="8"/>
        <v/>
      </c>
      <c r="S51" s="33">
        <f t="shared" si="9"/>
        <v>1.6337171709742262</v>
      </c>
      <c r="T51" s="33" t="str">
        <f t="shared" si="10"/>
        <v/>
      </c>
      <c r="U51" s="34">
        <f t="shared" si="11"/>
        <v>2.2042188615000002</v>
      </c>
      <c r="V51" s="34">
        <f t="shared" si="12"/>
        <v>2.2483032387300002</v>
      </c>
      <c r="W51" s="34">
        <f t="shared" si="13"/>
        <v>2.1601344842700003</v>
      </c>
      <c r="X51" s="35" t="str">
        <f t="shared" si="14"/>
        <v>OK</v>
      </c>
      <c r="Y51" s="33" t="str">
        <f t="shared" si="15"/>
        <v/>
      </c>
    </row>
    <row r="52" spans="1:25" x14ac:dyDescent="0.25">
      <c r="A52" s="8">
        <v>37</v>
      </c>
      <c r="B52" s="6">
        <v>325.73079999999999</v>
      </c>
      <c r="C52" s="9">
        <v>260.40870007000001</v>
      </c>
      <c r="D52" s="10">
        <f t="shared" si="0"/>
        <v>2.6040870006999999</v>
      </c>
      <c r="E52" s="10" t="str">
        <f t="shared" si="16"/>
        <v/>
      </c>
      <c r="F52" s="10" t="str">
        <f t="shared" si="17"/>
        <v/>
      </c>
      <c r="G52" s="10">
        <f t="shared" si="1"/>
        <v>1.5885135674900581</v>
      </c>
      <c r="H52" s="15" t="str">
        <f t="shared" si="2"/>
        <v>Two Phase</v>
      </c>
      <c r="I52" s="12">
        <f>IF(A52&lt;=$D$10,'QC Protocol'!$C$7+'QC Protocol'!$C$8*B52+'QC Protocol'!$C$9*B52^2+'QC Protocol'!$C$10*B52^3,'QC Protocol'!$C$18+'QC Protocol'!$C$19*B52+'QC Protocol'!$C$20*B52^2)</f>
        <v>1.5847753897103791</v>
      </c>
      <c r="J52" s="12">
        <f t="shared" si="3"/>
        <v>3.7381777796789972E-3</v>
      </c>
      <c r="K52" s="13">
        <f t="shared" si="4"/>
        <v>0.23532551790448544</v>
      </c>
      <c r="L52" s="8" t="str">
        <f>IF(K52="","",IF(A52&lt;=$D$10,IF(K52&lt;'QC Protocol'!$C$26,"PASS",IF(K52&lt;'QC Protocol'!$C$27,"WARN","FAIL")),IF(K52&lt;'QC Protocol'!$C$28,"PASS",IF(K52&lt;'QC Protocol'!$C$29,"WARN","FAIL"))))</f>
        <v>PASS</v>
      </c>
      <c r="O52" s="29">
        <f t="shared" si="5"/>
        <v>37</v>
      </c>
      <c r="P52" s="32">
        <f t="shared" si="6"/>
        <v>325.73079999999999</v>
      </c>
      <c r="Q52" s="33">
        <f t="shared" si="7"/>
        <v>2.6040870006999999</v>
      </c>
      <c r="R52" s="33" t="str">
        <f t="shared" si="8"/>
        <v/>
      </c>
      <c r="S52" s="33">
        <f t="shared" si="9"/>
        <v>1.5885135674900581</v>
      </c>
      <c r="T52" s="33" t="str">
        <f t="shared" si="10"/>
        <v/>
      </c>
      <c r="U52" s="34">
        <f t="shared" si="11"/>
        <v>2.6040870006999999</v>
      </c>
      <c r="V52" s="34">
        <f t="shared" si="12"/>
        <v>2.656168740714</v>
      </c>
      <c r="W52" s="34">
        <f t="shared" si="13"/>
        <v>2.5520052606859998</v>
      </c>
      <c r="X52" s="35" t="str">
        <f t="shared" si="14"/>
        <v>OK</v>
      </c>
      <c r="Y52" s="33" t="str">
        <f t="shared" si="15"/>
        <v/>
      </c>
    </row>
    <row r="53" spans="1:25" x14ac:dyDescent="0.25">
      <c r="A53" s="8">
        <v>38</v>
      </c>
      <c r="B53" s="6">
        <v>281.23540000000003</v>
      </c>
      <c r="C53" s="9">
        <v>300.07323351999997</v>
      </c>
      <c r="D53" s="10">
        <f t="shared" si="0"/>
        <v>3.0007323351999999</v>
      </c>
      <c r="E53" s="10" t="str">
        <f t="shared" si="16"/>
        <v/>
      </c>
      <c r="F53" s="10" t="str">
        <f t="shared" si="17"/>
        <v/>
      </c>
      <c r="G53" s="10">
        <f t="shared" si="1"/>
        <v>1.5541686886133397</v>
      </c>
      <c r="H53" s="15" t="str">
        <f t="shared" si="2"/>
        <v>Two Phase</v>
      </c>
      <c r="I53" s="12">
        <f>IF(A53&lt;=$D$10,'QC Protocol'!$C$7+'QC Protocol'!$C$8*B53+'QC Protocol'!$C$9*B53^2+'QC Protocol'!$C$10*B53^3,'QC Protocol'!$C$18+'QC Protocol'!$C$19*B53+'QC Protocol'!$C$20*B53^2)</f>
        <v>1.5533179435583602</v>
      </c>
      <c r="J53" s="12">
        <f t="shared" si="3"/>
        <v>8.5074505497950703E-4</v>
      </c>
      <c r="K53" s="13">
        <f t="shared" si="4"/>
        <v>5.4739556987122087E-2</v>
      </c>
      <c r="L53" s="8" t="str">
        <f>IF(K53="","",IF(A53&lt;=$D$10,IF(K53&lt;'QC Protocol'!$C$26,"PASS",IF(K53&lt;'QC Protocol'!$C$27,"WARN","FAIL")),IF(K53&lt;'QC Protocol'!$C$28,"PASS",IF(K53&lt;'QC Protocol'!$C$29,"WARN","FAIL"))))</f>
        <v>PASS</v>
      </c>
      <c r="O53" s="29">
        <f t="shared" si="5"/>
        <v>38</v>
      </c>
      <c r="P53" s="32">
        <f t="shared" si="6"/>
        <v>281.23540000000003</v>
      </c>
      <c r="Q53" s="33">
        <f t="shared" si="7"/>
        <v>3.0007323351999999</v>
      </c>
      <c r="R53" s="33" t="str">
        <f t="shared" si="8"/>
        <v/>
      </c>
      <c r="S53" s="33">
        <f t="shared" si="9"/>
        <v>1.5541686886133397</v>
      </c>
      <c r="T53" s="33" t="str">
        <f t="shared" si="10"/>
        <v/>
      </c>
      <c r="U53" s="34">
        <f t="shared" si="11"/>
        <v>3.0007323351999999</v>
      </c>
      <c r="V53" s="34">
        <f t="shared" si="12"/>
        <v>3.0607469819039999</v>
      </c>
      <c r="W53" s="34">
        <f t="shared" si="13"/>
        <v>2.940717688496</v>
      </c>
      <c r="X53" s="35" t="str">
        <f t="shared" si="14"/>
        <v>OK</v>
      </c>
      <c r="Y53" s="33" t="str">
        <f t="shared" si="15"/>
        <v/>
      </c>
    </row>
    <row r="54" spans="1:25" x14ac:dyDescent="0.25">
      <c r="A54" s="8">
        <v>39</v>
      </c>
      <c r="B54" s="6">
        <v>248.22559999999999</v>
      </c>
      <c r="C54" s="9">
        <v>339.45179984999999</v>
      </c>
      <c r="D54" s="10">
        <f t="shared" si="0"/>
        <v>3.3945179985</v>
      </c>
      <c r="E54" s="10" t="str">
        <f t="shared" si="16"/>
        <v/>
      </c>
      <c r="F54" s="10" t="str">
        <f t="shared" si="17"/>
        <v/>
      </c>
      <c r="G54" s="10">
        <f t="shared" si="1"/>
        <v>1.5268067259837335</v>
      </c>
      <c r="H54" s="15" t="str">
        <f t="shared" si="2"/>
        <v>Two Phase</v>
      </c>
      <c r="I54" s="12">
        <f>IF(A54&lt;=$D$10,'QC Protocol'!$C$7+'QC Protocol'!$C$8*B54+'QC Protocol'!$C$9*B54^2+'QC Protocol'!$C$10*B54^3,'QC Protocol'!$C$18+'QC Protocol'!$C$19*B54+'QC Protocol'!$C$20*B54^2)</f>
        <v>1.5294157826154575</v>
      </c>
      <c r="J54" s="12">
        <f t="shared" si="3"/>
        <v>-2.6090566317240604E-3</v>
      </c>
      <c r="K54" s="13">
        <f t="shared" si="4"/>
        <v>0.17088322885419729</v>
      </c>
      <c r="L54" s="8" t="str">
        <f>IF(K54="","",IF(A54&lt;=$D$10,IF(K54&lt;'QC Protocol'!$C$26,"PASS",IF(K54&lt;'QC Protocol'!$C$27,"WARN","FAIL")),IF(K54&lt;'QC Protocol'!$C$28,"PASS",IF(K54&lt;'QC Protocol'!$C$29,"WARN","FAIL"))))</f>
        <v>PASS</v>
      </c>
      <c r="O54" s="29">
        <f t="shared" si="5"/>
        <v>39</v>
      </c>
      <c r="P54" s="32">
        <f t="shared" si="6"/>
        <v>248.22559999999999</v>
      </c>
      <c r="Q54" s="33">
        <f t="shared" si="7"/>
        <v>3.3945179985</v>
      </c>
      <c r="R54" s="33" t="str">
        <f t="shared" si="8"/>
        <v/>
      </c>
      <c r="S54" s="33">
        <f t="shared" si="9"/>
        <v>1.5268067259837335</v>
      </c>
      <c r="T54" s="33" t="str">
        <f t="shared" si="10"/>
        <v/>
      </c>
      <c r="U54" s="34">
        <f t="shared" si="11"/>
        <v>3.3945179985</v>
      </c>
      <c r="V54" s="34">
        <f t="shared" si="12"/>
        <v>3.4624083584700003</v>
      </c>
      <c r="W54" s="34">
        <f t="shared" si="13"/>
        <v>3.3266276385299998</v>
      </c>
      <c r="X54" s="35" t="str">
        <f t="shared" si="14"/>
        <v>OK</v>
      </c>
      <c r="Y54" s="33" t="str">
        <f t="shared" si="15"/>
        <v/>
      </c>
    </row>
    <row r="55" spans="1:25" x14ac:dyDescent="0.25">
      <c r="A55" s="8">
        <v>40</v>
      </c>
      <c r="B55" s="6">
        <v>218.03460000000001</v>
      </c>
      <c r="C55" s="9">
        <v>386.70289135000002</v>
      </c>
      <c r="D55" s="10">
        <f t="shared" si="0"/>
        <v>3.8670289135</v>
      </c>
      <c r="E55" s="10" t="str">
        <f t="shared" si="16"/>
        <v/>
      </c>
      <c r="F55" s="10" t="str">
        <f>IF(A55&lt;=$D$10,(C55-C54)/C55/(B54-B55)*1000000,"")</f>
        <v/>
      </c>
      <c r="G55" s="10">
        <f t="shared" si="1"/>
        <v>1.5000450263429546</v>
      </c>
      <c r="H55" s="15" t="str">
        <f t="shared" si="2"/>
        <v>Two Phase</v>
      </c>
      <c r="I55" s="12">
        <f>IF(A55&lt;=$D$10,'QC Protocol'!$C$7+'QC Protocol'!$C$8*B55+'QC Protocol'!$C$9*B55^2+'QC Protocol'!$C$10*B55^3,'QC Protocol'!$C$18+'QC Protocol'!$C$19*B55+'QC Protocol'!$C$20*B55^2)</f>
        <v>1.5071334428010636</v>
      </c>
      <c r="J55" s="12">
        <f t="shared" si="3"/>
        <v>-7.0884164581090925E-3</v>
      </c>
      <c r="K55" s="13">
        <f t="shared" si="4"/>
        <v>0.47254691250104319</v>
      </c>
      <c r="L55" s="8" t="str">
        <f>IF(K55="","",IF(A55&lt;=$D$10,IF(K55&lt;'QC Protocol'!$C$26,"PASS",IF(K55&lt;'QC Protocol'!$C$27,"WARN","FAIL")),IF(K55&lt;'QC Protocol'!$C$28,"PASS",IF(K55&lt;'QC Protocol'!$C$29,"WARN","FAIL"))))</f>
        <v>PASS</v>
      </c>
      <c r="O55" s="29">
        <f t="shared" si="5"/>
        <v>40</v>
      </c>
      <c r="P55" s="32">
        <f t="shared" si="6"/>
        <v>218.03460000000001</v>
      </c>
      <c r="Q55" s="33">
        <f t="shared" si="7"/>
        <v>3.8670289135</v>
      </c>
      <c r="R55" s="33" t="str">
        <f t="shared" si="8"/>
        <v/>
      </c>
      <c r="S55" s="33">
        <f t="shared" si="9"/>
        <v>1.5000450263429546</v>
      </c>
      <c r="T55" s="33" t="str">
        <f t="shared" si="10"/>
        <v/>
      </c>
      <c r="U55" s="34">
        <f t="shared" si="11"/>
        <v>3.8670289135</v>
      </c>
      <c r="V55" s="34">
        <f t="shared" si="12"/>
        <v>3.9443694917699998</v>
      </c>
      <c r="W55" s="34">
        <f t="shared" si="13"/>
        <v>3.7896883352300001</v>
      </c>
      <c r="X55" s="35" t="str">
        <f t="shared" si="14"/>
        <v>OK</v>
      </c>
      <c r="Y55" s="33" t="str">
        <f t="shared" si="15"/>
        <v/>
      </c>
    </row>
  </sheetData>
  <mergeCells count="9">
    <mergeCell ref="A1:L1"/>
    <mergeCell ref="AF14:AK14"/>
    <mergeCell ref="V4:AE4"/>
    <mergeCell ref="A14:L14"/>
    <mergeCell ref="W10:AE11"/>
    <mergeCell ref="H4:K4"/>
    <mergeCell ref="O14:T14"/>
    <mergeCell ref="B4:E4"/>
    <mergeCell ref="V14:AA14"/>
  </mergeCells>
  <conditionalFormatting sqref="X16:X55">
    <cfRule type="cellIs" dxfId="0" priority="1" operator="equal">
      <formula>"OUT"</formula>
    </cfRule>
  </conditionalFormatting>
  <dataValidations count="1">
    <dataValidation type="list" sqref="AA5 AA6" xr:uid="{00000000-0002-0000-0000-000000000000}">
      <formula1>$B$16:$B$55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4"/>
  <sheetViews>
    <sheetView workbookViewId="0"/>
  </sheetViews>
  <sheetFormatPr defaultRowHeight="15" x14ac:dyDescent="0.25"/>
  <cols>
    <col min="1" max="1" width="4" customWidth="1"/>
    <col min="2" max="2" width="28" customWidth="1"/>
    <col min="3" max="3" width="18" customWidth="1"/>
    <col min="4" max="4" width="16" customWidth="1"/>
    <col min="5" max="6" width="10" customWidth="1"/>
  </cols>
  <sheetData>
    <row r="1" spans="2:6" x14ac:dyDescent="0.25">
      <c r="B1" s="44" t="s">
        <v>52</v>
      </c>
      <c r="C1" s="45"/>
      <c r="D1" s="45"/>
      <c r="E1" s="45"/>
      <c r="F1" s="46"/>
    </row>
    <row r="4" spans="2:6" x14ac:dyDescent="0.25">
      <c r="B4" s="44" t="s">
        <v>53</v>
      </c>
      <c r="C4" s="45"/>
      <c r="D4" s="45"/>
      <c r="E4" s="45"/>
      <c r="F4" s="46"/>
    </row>
    <row r="5" spans="2:6" ht="25.5" customHeight="1" x14ac:dyDescent="0.25">
      <c r="B5" s="3" t="s">
        <v>54</v>
      </c>
      <c r="C5" s="16" t="s">
        <v>55</v>
      </c>
    </row>
    <row r="6" spans="2:6" ht="25.5" customHeight="1" x14ac:dyDescent="0.25">
      <c r="B6" s="3" t="s">
        <v>56</v>
      </c>
      <c r="C6" s="16" t="s">
        <v>57</v>
      </c>
    </row>
    <row r="7" spans="2:6" x14ac:dyDescent="0.25">
      <c r="B7" s="3" t="s">
        <v>58</v>
      </c>
      <c r="C7" s="14">
        <v>1.0193719463827839</v>
      </c>
    </row>
    <row r="8" spans="2:6" x14ac:dyDescent="0.25">
      <c r="B8" s="3" t="s">
        <v>59</v>
      </c>
      <c r="C8" s="14">
        <v>-1.8480382020542922E-5</v>
      </c>
    </row>
    <row r="9" spans="2:6" x14ac:dyDescent="0.25">
      <c r="B9" s="3" t="s">
        <v>60</v>
      </c>
      <c r="C9" s="14">
        <v>1.540872344828672E-9</v>
      </c>
    </row>
    <row r="10" spans="2:6" x14ac:dyDescent="0.25">
      <c r="B10" s="3" t="s">
        <v>61</v>
      </c>
      <c r="C10" s="14">
        <v>-7.1725229909981947E-14</v>
      </c>
    </row>
    <row r="11" spans="2:6" x14ac:dyDescent="0.25">
      <c r="B11" s="3" t="s">
        <v>62</v>
      </c>
      <c r="C11" s="16">
        <f>1-SUMPRODUCT(('CCE Calculation'!J16:J35)^2)/SUMPRODUCT(('CCE Calculation'!D16:D35-AVERAGE('CCE Calculation'!D16:D35))^2)</f>
        <v>0.99999344567933979</v>
      </c>
    </row>
    <row r="12" spans="2:6" x14ac:dyDescent="0.25">
      <c r="B12" s="3" t="s">
        <v>63</v>
      </c>
      <c r="C12" s="16">
        <f>MAX('CCE Calculation'!K16:K35)</f>
        <v>1.1127469840958974E-2</v>
      </c>
    </row>
    <row r="13" spans="2:6" x14ac:dyDescent="0.25">
      <c r="B13" s="3" t="s">
        <v>64</v>
      </c>
      <c r="C13" s="16">
        <f>AVERAGE('CCE Calculation'!K16:K35)</f>
        <v>4.6182161004181821E-3</v>
      </c>
    </row>
    <row r="15" spans="2:6" x14ac:dyDescent="0.25">
      <c r="B15" s="44" t="s">
        <v>65</v>
      </c>
      <c r="C15" s="45"/>
      <c r="D15" s="45"/>
      <c r="E15" s="45"/>
      <c r="F15" s="46"/>
    </row>
    <row r="16" spans="2:6" ht="25.5" customHeight="1" x14ac:dyDescent="0.25">
      <c r="B16" s="3" t="s">
        <v>54</v>
      </c>
      <c r="C16" s="16" t="s">
        <v>66</v>
      </c>
    </row>
    <row r="17" spans="2:6" x14ac:dyDescent="0.25">
      <c r="B17" s="3" t="s">
        <v>56</v>
      </c>
      <c r="C17" s="16" t="s">
        <v>67</v>
      </c>
    </row>
    <row r="18" spans="2:6" x14ac:dyDescent="0.25">
      <c r="B18" s="3" t="s">
        <v>68</v>
      </c>
      <c r="C18" s="14">
        <v>1.3342654188424199</v>
      </c>
    </row>
    <row r="19" spans="2:6" x14ac:dyDescent="0.25">
      <c r="B19" s="3" t="s">
        <v>69</v>
      </c>
      <c r="C19" s="14">
        <v>8.4098243733676066E-4</v>
      </c>
    </row>
    <row r="20" spans="2:6" x14ac:dyDescent="0.25">
      <c r="B20" s="3" t="s">
        <v>70</v>
      </c>
      <c r="C20" s="14">
        <v>-2.2077086625334531E-7</v>
      </c>
    </row>
    <row r="21" spans="2:6" x14ac:dyDescent="0.25">
      <c r="B21" s="3" t="s">
        <v>62</v>
      </c>
      <c r="C21" s="16">
        <f>1-SUMPRODUCT(('CCE Calculation'!J36:J55)^2)/SUMPRODUCT(('CCE Calculation'!G36:G55-AVERAGE('CCE Calculation'!G36:G55))^2)</f>
        <v>0.99971813567027468</v>
      </c>
    </row>
    <row r="22" spans="2:6" x14ac:dyDescent="0.25">
      <c r="B22" s="3" t="s">
        <v>63</v>
      </c>
      <c r="C22" s="16">
        <f>MAX('CCE Calculation'!K36:K55)</f>
        <v>0.47254691250104319</v>
      </c>
    </row>
    <row r="23" spans="2:6" x14ac:dyDescent="0.25">
      <c r="B23" s="3" t="s">
        <v>64</v>
      </c>
      <c r="C23" s="16">
        <f>AVERAGE('CCE Calculation'!K36:K55)</f>
        <v>0.14633352041641201</v>
      </c>
    </row>
    <row r="25" spans="2:6" x14ac:dyDescent="0.25">
      <c r="B25" s="44" t="s">
        <v>71</v>
      </c>
      <c r="C25" s="45"/>
      <c r="D25" s="45"/>
      <c r="E25" s="45"/>
      <c r="F25" s="46"/>
    </row>
    <row r="26" spans="2:6" x14ac:dyDescent="0.25">
      <c r="B26" s="3" t="s">
        <v>72</v>
      </c>
      <c r="C26" s="17">
        <v>0.05</v>
      </c>
    </row>
    <row r="27" spans="2:6" x14ac:dyDescent="0.25">
      <c r="B27" s="3" t="s">
        <v>73</v>
      </c>
      <c r="C27" s="17">
        <v>0.1</v>
      </c>
    </row>
    <row r="28" spans="2:6" x14ac:dyDescent="0.25">
      <c r="B28" s="3" t="s">
        <v>74</v>
      </c>
      <c r="C28" s="17">
        <v>1</v>
      </c>
    </row>
    <row r="29" spans="2:6" x14ac:dyDescent="0.25">
      <c r="B29" s="3" t="s">
        <v>75</v>
      </c>
      <c r="C29" s="17">
        <v>2</v>
      </c>
    </row>
    <row r="31" spans="2:6" x14ac:dyDescent="0.25">
      <c r="B31" s="44" t="s">
        <v>76</v>
      </c>
      <c r="C31" s="45"/>
      <c r="D31" s="45"/>
      <c r="E31" s="45"/>
      <c r="F31" s="46"/>
    </row>
    <row r="32" spans="2:6" x14ac:dyDescent="0.25">
      <c r="B32" s="3" t="s">
        <v>77</v>
      </c>
      <c r="C32" s="16">
        <f>COUNTIF('CCE Calculation'!L16:L35,"PASS")</f>
        <v>20</v>
      </c>
    </row>
    <row r="33" spans="2:6" x14ac:dyDescent="0.25">
      <c r="B33" s="3" t="s">
        <v>78</v>
      </c>
      <c r="C33" s="16">
        <f>COUNTIF('CCE Calculation'!L16:L35,"WARN")</f>
        <v>0</v>
      </c>
    </row>
    <row r="34" spans="2:6" x14ac:dyDescent="0.25">
      <c r="B34" s="3" t="s">
        <v>79</v>
      </c>
      <c r="C34" s="16">
        <f>COUNTIF('CCE Calculation'!L16:L35,"FAIL")</f>
        <v>0</v>
      </c>
    </row>
    <row r="36" spans="2:6" x14ac:dyDescent="0.25">
      <c r="B36" s="3" t="s">
        <v>80</v>
      </c>
      <c r="C36" s="16">
        <f>COUNTIF('CCE Calculation'!L36:L55,"PASS")</f>
        <v>20</v>
      </c>
    </row>
    <row r="37" spans="2:6" x14ac:dyDescent="0.25">
      <c r="B37" s="3" t="s">
        <v>81</v>
      </c>
      <c r="C37" s="16">
        <f>COUNTIF('CCE Calculation'!L36:L55,"WARN")</f>
        <v>0</v>
      </c>
    </row>
    <row r="38" spans="2:6" x14ac:dyDescent="0.25">
      <c r="B38" s="3" t="s">
        <v>82</v>
      </c>
      <c r="C38" s="16">
        <f>COUNTIF('CCE Calculation'!L36:L55,"FAIL")</f>
        <v>0</v>
      </c>
    </row>
    <row r="40" spans="2:6" x14ac:dyDescent="0.25">
      <c r="B40" s="3" t="s">
        <v>83</v>
      </c>
      <c r="C40" s="7" t="str">
        <f>IF(OR(C34&gt;0,C38&gt;0),"CHECK FAILS",IF(OR(C33&gt;0,C37&gt;0),"REVIEW WARNINGS","ALL PASSED"))</f>
        <v>ALL PASSED</v>
      </c>
    </row>
    <row r="43" spans="2:6" x14ac:dyDescent="0.25">
      <c r="B43" s="3" t="s">
        <v>84</v>
      </c>
      <c r="C43" s="50" t="s">
        <v>85</v>
      </c>
      <c r="D43" s="51"/>
      <c r="E43" s="51"/>
      <c r="F43" s="52"/>
    </row>
    <row r="44" spans="2:6" x14ac:dyDescent="0.25">
      <c r="C44" s="53"/>
      <c r="D44" s="54"/>
      <c r="E44" s="54"/>
      <c r="F44" s="55"/>
    </row>
  </sheetData>
  <mergeCells count="6">
    <mergeCell ref="B1:F1"/>
    <mergeCell ref="B4:F4"/>
    <mergeCell ref="C43:F44"/>
    <mergeCell ref="B15:F15"/>
    <mergeCell ref="B25:F25"/>
    <mergeCell ref="B31: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A9" sqref="A9"/>
    </sheetView>
  </sheetViews>
  <sheetFormatPr defaultRowHeight="15" x14ac:dyDescent="0.25"/>
  <cols>
    <col min="1" max="1" width="16" customWidth="1"/>
    <col min="2" max="3" width="14" customWidth="1"/>
    <col min="4" max="4" width="16" customWidth="1"/>
    <col min="5" max="5" width="14" customWidth="1"/>
    <col min="7" max="7" width="24" customWidth="1"/>
    <col min="8" max="8" width="16" customWidth="1"/>
    <col min="9" max="9" width="14" customWidth="1"/>
  </cols>
  <sheetData>
    <row r="1" spans="1:9" x14ac:dyDescent="0.25">
      <c r="A1" s="44" t="s">
        <v>86</v>
      </c>
      <c r="B1" s="45"/>
      <c r="C1" s="45"/>
      <c r="D1" s="45"/>
      <c r="E1" s="46"/>
      <c r="G1" s="47" t="s">
        <v>87</v>
      </c>
      <c r="H1" s="48"/>
      <c r="I1" s="48"/>
    </row>
    <row r="3" spans="1:9" ht="25.5" customHeight="1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G3" s="27" t="s">
        <v>7</v>
      </c>
      <c r="H3" s="28">
        <f>'CCE Calculation'!AA5</f>
        <v>4029</v>
      </c>
    </row>
    <row r="4" spans="1:9" x14ac:dyDescent="0.25">
      <c r="A4" s="8" t="s">
        <v>93</v>
      </c>
      <c r="B4" s="18">
        <f>ROUND('CCE Calculation'!B16,0)</f>
        <v>7015</v>
      </c>
      <c r="C4" s="18">
        <f>ROUND('CCE Calculation'!B19,0)</f>
        <v>5531</v>
      </c>
      <c r="D4" s="19">
        <f>((('CCE Calculation'!D19-'CCE Calculation'!D16)/((('CCE Calculation'!D16+'CCE Calculation'!D19)/2))*1/('CCE Calculation'!B16-'CCE Calculation'!B19))*1000000)</f>
        <v>7.988732593178792</v>
      </c>
      <c r="E4" s="8" t="s">
        <v>94</v>
      </c>
      <c r="G4" s="27" t="s">
        <v>11</v>
      </c>
      <c r="H4" s="28">
        <f>'CCE Calculation'!AA6</f>
        <v>1175</v>
      </c>
    </row>
    <row r="5" spans="1:9" x14ac:dyDescent="0.25">
      <c r="A5" s="8" t="s">
        <v>95</v>
      </c>
      <c r="B5" s="18">
        <f>ROUND('CCE Calculation'!B19,0)</f>
        <v>5531</v>
      </c>
      <c r="C5" s="18">
        <f>ROUND('CCE Calculation'!B23,0)</f>
        <v>3939</v>
      </c>
      <c r="D5" s="19">
        <f>((('CCE Calculation'!D23-'CCE Calculation'!D19)/((('CCE Calculation'!D19+'CCE Calculation'!D23)/2))*1/('CCE Calculation'!B19-'CCE Calculation'!B23))*1000000)</f>
        <v>9.2114780635459574</v>
      </c>
      <c r="E5" s="8" t="s">
        <v>94</v>
      </c>
      <c r="G5" s="27" t="s">
        <v>96</v>
      </c>
      <c r="H5" s="31">
        <f>'CCE Calculation'!AA7</f>
        <v>12.250639621082708</v>
      </c>
      <c r="I5" s="36" t="s">
        <v>94</v>
      </c>
    </row>
    <row r="6" spans="1:9" x14ac:dyDescent="0.25">
      <c r="A6" s="8" t="s">
        <v>97</v>
      </c>
      <c r="B6" s="18">
        <f>ROUND('CCE Calculation'!B23,0)</f>
        <v>3939</v>
      </c>
      <c r="C6" s="18">
        <f>ROUND('CCE Calculation'!B27,0)</f>
        <v>2031</v>
      </c>
      <c r="D6" s="19">
        <f>((('CCE Calculation'!D27-'CCE Calculation'!D23)/((('CCE Calculation'!D23+'CCE Calculation'!D27)/2))*1/('CCE Calculation'!B23-'CCE Calculation'!B27))*1000000)</f>
        <v>11.437526341927795</v>
      </c>
      <c r="E6" s="8" t="s">
        <v>94</v>
      </c>
    </row>
    <row r="7" spans="1:9" x14ac:dyDescent="0.25">
      <c r="A7" s="8" t="s">
        <v>98</v>
      </c>
      <c r="B7" s="18">
        <f>ROUND('CCE Calculation'!B27,0)</f>
        <v>2031</v>
      </c>
      <c r="C7" s="18">
        <f>ROUND('CCE Calculation'!B35,0)</f>
        <v>1156</v>
      </c>
      <c r="D7" s="19">
        <f>((('CCE Calculation'!D35-'CCE Calculation'!D27)/((('CCE Calculation'!D27+'CCE Calculation'!D35)/2))*1/('CCE Calculation'!B27-'CCE Calculation'!B35))*1000000)</f>
        <v>14.389898839387586</v>
      </c>
      <c r="E7" s="8" t="s">
        <v>94</v>
      </c>
      <c r="G7" s="27" t="s">
        <v>4</v>
      </c>
      <c r="H7" s="25">
        <f>'CCE Calculation'!D5</f>
        <v>3938.73</v>
      </c>
    </row>
    <row r="8" spans="1:9" ht="25.5" x14ac:dyDescent="0.25">
      <c r="G8" s="27" t="s">
        <v>99</v>
      </c>
      <c r="H8" s="32">
        <f>IF(OR(H7="",'CCE Calculation'!J9=""),"",((INDEX('CCE Calculation'!D:D,MATCH(H7,'CCE Calculation'!B:B,-1))-INDEX('CCE Calculation'!D:D,MATCH('CCE Calculation'!J9,'CCE Calculation'!B:B,-1)))/((INDEX('CCE Calculation'!D:D,MATCH(H7,'CCE Calculation'!B:B,-1))+INDEX('CCE Calculation'!D:D,MATCH('CCE Calculation'!J9,'CCE Calculation'!B:B,-1)))/2)*1/(INDEX('CCE Calculation'!B:B,MATCH(H7,'CCE Calculation'!B:B,-1))-'CCE Calculation'!J9)*1000000))</f>
        <v>-12.365433539344826</v>
      </c>
      <c r="I8" s="36" t="s">
        <v>94</v>
      </c>
    </row>
    <row r="9" spans="1:9" ht="25.5" customHeight="1" x14ac:dyDescent="0.25">
      <c r="A9" s="20" t="s">
        <v>100</v>
      </c>
      <c r="D9" s="21">
        <f>((('CCE Calculation'!D35-'CCE Calculation'!D23)/((('CCE Calculation'!D23+'CCE Calculation'!D35)/2))*1/('CCE Calculation'!B23-'CCE Calculation'!B35))*1000000)</f>
        <v>12.365433539344826</v>
      </c>
    </row>
  </sheetData>
  <mergeCells count="2">
    <mergeCell ref="A1:E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sqref="A1:C1"/>
    </sheetView>
  </sheetViews>
  <sheetFormatPr defaultRowHeight="15" x14ac:dyDescent="0.25"/>
  <cols>
    <col min="1" max="1" width="4" customWidth="1"/>
    <col min="2" max="2" width="18" customWidth="1"/>
    <col min="3" max="3" width="20" customWidth="1"/>
  </cols>
  <sheetData>
    <row r="1" spans="1:3" x14ac:dyDescent="0.25">
      <c r="A1" s="44" t="s">
        <v>101</v>
      </c>
      <c r="B1" s="45"/>
      <c r="C1" s="46"/>
    </row>
    <row r="3" spans="1:3" x14ac:dyDescent="0.25">
      <c r="B3" s="22" t="s">
        <v>102</v>
      </c>
    </row>
    <row r="4" spans="1:3" x14ac:dyDescent="0.25">
      <c r="B4" s="3" t="s">
        <v>103</v>
      </c>
      <c r="C4" s="8" t="s">
        <v>104</v>
      </c>
    </row>
    <row r="5" spans="1:3" x14ac:dyDescent="0.25">
      <c r="B5" s="3" t="s">
        <v>105</v>
      </c>
      <c r="C5" s="8" t="s">
        <v>106</v>
      </c>
    </row>
    <row r="6" spans="1:3" ht="25.5" customHeight="1" x14ac:dyDescent="0.25">
      <c r="B6" s="3" t="s">
        <v>107</v>
      </c>
      <c r="C6" s="8" t="s">
        <v>108</v>
      </c>
    </row>
    <row r="7" spans="1:3" x14ac:dyDescent="0.25">
      <c r="B7" s="3" t="s">
        <v>109</v>
      </c>
      <c r="C7" s="8" t="s">
        <v>110</v>
      </c>
    </row>
    <row r="8" spans="1:3" x14ac:dyDescent="0.25">
      <c r="B8" s="3" t="s">
        <v>111</v>
      </c>
      <c r="C8" s="16" t="str">
        <f>'CCE Calculation'!D6&amp;" °F"</f>
        <v>256 °F</v>
      </c>
    </row>
    <row r="11" spans="1:3" x14ac:dyDescent="0.25">
      <c r="B11" s="22" t="s">
        <v>112</v>
      </c>
    </row>
    <row r="12" spans="1:3" x14ac:dyDescent="0.25">
      <c r="B12" s="3" t="s">
        <v>113</v>
      </c>
      <c r="C12" s="16">
        <f>'CCE Calculation'!J9</f>
        <v>1155.73</v>
      </c>
    </row>
    <row r="13" spans="1:3" x14ac:dyDescent="0.25">
      <c r="B13" s="3" t="s">
        <v>114</v>
      </c>
      <c r="C13" s="16">
        <f>'CCE Calculation'!J10</f>
        <v>0.68560210729580395</v>
      </c>
    </row>
    <row r="14" spans="1:3" x14ac:dyDescent="0.25">
      <c r="B14" s="3" t="s">
        <v>115</v>
      </c>
      <c r="C14" s="16">
        <f>'QC Protocol'!C11</f>
        <v>0.99999344567933979</v>
      </c>
    </row>
    <row r="15" spans="1:3" x14ac:dyDescent="0.25">
      <c r="B15" s="3" t="s">
        <v>116</v>
      </c>
      <c r="C15" s="16">
        <f>'QC Protocol'!C21</f>
        <v>0.99971813567027468</v>
      </c>
    </row>
    <row r="16" spans="1:3" x14ac:dyDescent="0.25">
      <c r="B16" s="3" t="s">
        <v>117</v>
      </c>
      <c r="C16" s="16" t="str">
        <f>'QC Protocol'!C40</f>
        <v>ALL PASSED</v>
      </c>
    </row>
    <row r="18" spans="2:3" ht="25.5" x14ac:dyDescent="0.25">
      <c r="B18" s="27" t="s">
        <v>118</v>
      </c>
      <c r="C18" s="37" t="s">
        <v>119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6"/>
  <sheetViews>
    <sheetView workbookViewId="0">
      <selection activeCell="M6" sqref="M6"/>
    </sheetView>
  </sheetViews>
  <sheetFormatPr defaultRowHeight="15" x14ac:dyDescent="0.25"/>
  <cols>
    <col min="1" max="1" width="8" customWidth="1"/>
    <col min="2" max="4" width="14" customWidth="1"/>
    <col min="5" max="5" width="12" customWidth="1"/>
    <col min="6" max="7" width="14" customWidth="1"/>
    <col min="8" max="9" width="12" customWidth="1"/>
    <col min="10" max="11" width="14" customWidth="1"/>
    <col min="12" max="12" width="12" customWidth="1"/>
    <col min="13" max="15" width="14" customWidth="1"/>
  </cols>
  <sheetData>
    <row r="1" spans="1:15" x14ac:dyDescent="0.25">
      <c r="A1" s="44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x14ac:dyDescent="0.25">
      <c r="A2" s="2"/>
    </row>
    <row r="4" spans="1:15" ht="25.5" customHeight="1" x14ac:dyDescent="0.25">
      <c r="A4" s="3" t="s">
        <v>120</v>
      </c>
      <c r="B4" s="14" t="s">
        <v>121</v>
      </c>
    </row>
    <row r="6" spans="1:15" ht="25.5" customHeight="1" x14ac:dyDescent="0.25">
      <c r="A6" s="1" t="s">
        <v>29</v>
      </c>
      <c r="B6" s="1" t="s">
        <v>41</v>
      </c>
      <c r="C6" s="1" t="s">
        <v>46</v>
      </c>
      <c r="D6" s="1" t="s">
        <v>42</v>
      </c>
      <c r="E6" s="1" t="s">
        <v>122</v>
      </c>
      <c r="F6" s="1" t="s">
        <v>123</v>
      </c>
      <c r="G6" s="1" t="s">
        <v>43</v>
      </c>
      <c r="H6" s="1" t="s">
        <v>124</v>
      </c>
      <c r="I6" s="1" t="s">
        <v>125</v>
      </c>
      <c r="J6" s="1" t="s">
        <v>44</v>
      </c>
      <c r="K6" s="1" t="s">
        <v>126</v>
      </c>
      <c r="L6" s="1" t="s">
        <v>127</v>
      </c>
      <c r="M6" s="1" t="s">
        <v>45</v>
      </c>
      <c r="N6" s="1" t="s">
        <v>128</v>
      </c>
      <c r="O6" s="1" t="s">
        <v>129</v>
      </c>
    </row>
    <row r="7" spans="1:15" x14ac:dyDescent="0.25">
      <c r="A7" s="8">
        <f>'CCE Calculation'!A16</f>
        <v>1</v>
      </c>
      <c r="B7" s="19">
        <f>'CCE Calculation'!B16</f>
        <v>7014.73</v>
      </c>
      <c r="C7" s="12">
        <f>'CCE Calculation'!D16</f>
        <v>0.94088229029999992</v>
      </c>
      <c r="D7" s="9">
        <v>0.94088229029999992</v>
      </c>
      <c r="E7" s="13">
        <f t="shared" ref="E7:E46" si="0">IF(OR(D7="",C7="",C7=0),"",ABS(D7-C7)/C7*100)</f>
        <v>0</v>
      </c>
      <c r="F7" s="12">
        <f>'CCE Calculation'!E16</f>
        <v>0.72867999999999999</v>
      </c>
      <c r="G7" s="9">
        <v>0.72867999999999999</v>
      </c>
      <c r="H7" s="13">
        <f t="shared" ref="H7:H46" si="1">IF(OR(G7="",F7="",F7=0),"",ABS(G7-F7)/F7*100)</f>
        <v>0</v>
      </c>
      <c r="I7" s="12" t="str">
        <f>'CCE Calculation'!G16</f>
        <v/>
      </c>
      <c r="J7" s="9"/>
      <c r="K7" s="13" t="str">
        <f t="shared" ref="K7:K46" si="2">IF(OR(J7="",I7="",I7=0),"",ABS(J7-I7)/ABS(I7)*100)</f>
        <v/>
      </c>
      <c r="L7" s="12">
        <f>'CCE Calculation'!F16</f>
        <v>7.6804854044954727</v>
      </c>
      <c r="M7" s="9">
        <v>7.6804854044954727</v>
      </c>
      <c r="N7" s="13">
        <f t="shared" ref="N7:N46" si="3">IF(OR(M7="",L7="",L7=0),"",ABS(M7-L7)/ABS(L7)*100)</f>
        <v>0</v>
      </c>
      <c r="O7" s="23"/>
    </row>
    <row r="8" spans="1:15" x14ac:dyDescent="0.25">
      <c r="A8" s="8">
        <f>'CCE Calculation'!A17</f>
        <v>2</v>
      </c>
      <c r="B8" s="19">
        <f>'CCE Calculation'!B17</f>
        <v>6525.9808000000003</v>
      </c>
      <c r="C8" s="12">
        <f>'CCE Calculation'!D17</f>
        <v>0.94441420350000005</v>
      </c>
      <c r="D8" s="9">
        <v>0.94441420350000005</v>
      </c>
      <c r="E8" s="13">
        <f t="shared" si="0"/>
        <v>0</v>
      </c>
      <c r="F8" s="12">
        <f>'CCE Calculation'!E17</f>
        <v>0.72595488796648944</v>
      </c>
      <c r="G8" s="9">
        <v>0.72595488796648944</v>
      </c>
      <c r="H8" s="13">
        <f t="shared" si="1"/>
        <v>0</v>
      </c>
      <c r="I8" s="12" t="str">
        <f>'CCE Calculation'!G17</f>
        <v/>
      </c>
      <c r="J8" s="9"/>
      <c r="K8" s="13" t="str">
        <f t="shared" si="2"/>
        <v/>
      </c>
      <c r="L8" s="12">
        <f>'CCE Calculation'!F17</f>
        <v>7.8223487254161288</v>
      </c>
      <c r="M8" s="9">
        <v>7.8223487254161288</v>
      </c>
      <c r="N8" s="13">
        <f t="shared" si="3"/>
        <v>0</v>
      </c>
      <c r="O8" s="23"/>
    </row>
    <row r="9" spans="1:15" x14ac:dyDescent="0.25">
      <c r="A9" s="8">
        <f>'CCE Calculation'!A18</f>
        <v>3</v>
      </c>
      <c r="B9" s="19">
        <f>'CCE Calculation'!B18</f>
        <v>6029.4922999999999</v>
      </c>
      <c r="C9" s="12">
        <f>'CCE Calculation'!D18</f>
        <v>0.94816077050000003</v>
      </c>
      <c r="D9" s="9">
        <v>0.94816077050000003</v>
      </c>
      <c r="E9" s="13">
        <f t="shared" si="0"/>
        <v>0</v>
      </c>
      <c r="F9" s="12">
        <f>'CCE Calculation'!E18</f>
        <v>0.72308634635269786</v>
      </c>
      <c r="G9" s="9">
        <v>0.72308634635269786</v>
      </c>
      <c r="H9" s="13">
        <f t="shared" si="1"/>
        <v>0</v>
      </c>
      <c r="I9" s="12" t="str">
        <f>'CCE Calculation'!G18</f>
        <v/>
      </c>
      <c r="J9" s="9"/>
      <c r="K9" s="13" t="str">
        <f t="shared" si="2"/>
        <v/>
      </c>
      <c r="L9" s="12">
        <f>'CCE Calculation'!F18</f>
        <v>8.1481553154984194</v>
      </c>
      <c r="M9" s="9">
        <v>8.1481553154984194</v>
      </c>
      <c r="N9" s="13">
        <f t="shared" si="3"/>
        <v>0</v>
      </c>
      <c r="O9" s="23"/>
    </row>
    <row r="10" spans="1:15" x14ac:dyDescent="0.25">
      <c r="A10" s="8">
        <f>'CCE Calculation'!A19</f>
        <v>4</v>
      </c>
      <c r="B10" s="19">
        <f>'CCE Calculation'!B19</f>
        <v>5531.1265999999996</v>
      </c>
      <c r="C10" s="12">
        <f>'CCE Calculation'!D19</f>
        <v>0.95210020949999996</v>
      </c>
      <c r="D10" s="9">
        <v>0.95210020949999996</v>
      </c>
      <c r="E10" s="13">
        <f t="shared" si="0"/>
        <v>0</v>
      </c>
      <c r="F10" s="12">
        <f>'CCE Calculation'!E19</f>
        <v>0.72009448213003879</v>
      </c>
      <c r="G10" s="9">
        <v>0.72009448213003879</v>
      </c>
      <c r="H10" s="13">
        <f t="shared" si="1"/>
        <v>0</v>
      </c>
      <c r="I10" s="12" t="str">
        <f>'CCE Calculation'!G19</f>
        <v/>
      </c>
      <c r="J10" s="9"/>
      <c r="K10" s="13" t="str">
        <f t="shared" si="2"/>
        <v/>
      </c>
      <c r="L10" s="12">
        <f>'CCE Calculation'!F19</f>
        <v>8.5164100809755734</v>
      </c>
      <c r="M10" s="9">
        <v>8.5164100809755734</v>
      </c>
      <c r="N10" s="13">
        <f t="shared" si="3"/>
        <v>0</v>
      </c>
      <c r="O10" s="23"/>
    </row>
    <row r="11" spans="1:15" x14ac:dyDescent="0.25">
      <c r="A11" s="8">
        <f>'CCE Calculation'!A20</f>
        <v>5</v>
      </c>
      <c r="B11" s="19">
        <f>'CCE Calculation'!B20</f>
        <v>5026.7011000000002</v>
      </c>
      <c r="C11" s="12">
        <f>'CCE Calculation'!D20</f>
        <v>0.95629187869999999</v>
      </c>
      <c r="D11" s="9">
        <v>0.95629187869999999</v>
      </c>
      <c r="E11" s="13">
        <f t="shared" si="0"/>
        <v>0</v>
      </c>
      <c r="F11" s="12">
        <f>'CCE Calculation'!E20</f>
        <v>0.71693812586573824</v>
      </c>
      <c r="G11" s="9">
        <v>0.71693812586573824</v>
      </c>
      <c r="H11" s="13">
        <f t="shared" si="1"/>
        <v>0</v>
      </c>
      <c r="I11" s="12" t="str">
        <f>'CCE Calculation'!G20</f>
        <v/>
      </c>
      <c r="J11" s="9"/>
      <c r="K11" s="13" t="str">
        <f t="shared" si="2"/>
        <v/>
      </c>
      <c r="L11" s="12">
        <f>'CCE Calculation'!F20</f>
        <v>8.9279778497590865</v>
      </c>
      <c r="M11" s="9">
        <v>8.9279778497590865</v>
      </c>
      <c r="N11" s="13">
        <f t="shared" si="3"/>
        <v>0</v>
      </c>
      <c r="O11" s="23"/>
    </row>
    <row r="12" spans="1:15" x14ac:dyDescent="0.25">
      <c r="A12" s="8">
        <f>'CCE Calculation'!A21</f>
        <v>6</v>
      </c>
      <c r="B12" s="19">
        <f>'CCE Calculation'!B21</f>
        <v>4527.7470000000003</v>
      </c>
      <c r="C12" s="12">
        <f>'CCE Calculation'!D21</f>
        <v>0.96066681639999996</v>
      </c>
      <c r="D12" s="9">
        <v>0.96066681639999996</v>
      </c>
      <c r="E12" s="13">
        <f t="shared" si="0"/>
        <v>0</v>
      </c>
      <c r="F12" s="12">
        <f>'CCE Calculation'!E21</f>
        <v>0.71367314410320448</v>
      </c>
      <c r="G12" s="9">
        <v>0.71367314410320448</v>
      </c>
      <c r="H12" s="13">
        <f t="shared" si="1"/>
        <v>0</v>
      </c>
      <c r="I12" s="12" t="str">
        <f>'CCE Calculation'!G21</f>
        <v/>
      </c>
      <c r="J12" s="9"/>
      <c r="K12" s="13" t="str">
        <f t="shared" si="2"/>
        <v/>
      </c>
      <c r="L12" s="12">
        <f>'CCE Calculation'!F21</f>
        <v>9.3980839084758578</v>
      </c>
      <c r="M12" s="9">
        <v>9.3980839084758578</v>
      </c>
      <c r="N12" s="13">
        <f t="shared" si="3"/>
        <v>0</v>
      </c>
      <c r="O12" s="23"/>
    </row>
    <row r="13" spans="1:15" x14ac:dyDescent="0.25">
      <c r="A13" s="8">
        <f>'CCE Calculation'!A22</f>
        <v>7</v>
      </c>
      <c r="B13" s="19">
        <f>'CCE Calculation'!B22</f>
        <v>4029.4571999999998</v>
      </c>
      <c r="C13" s="12">
        <f>'CCE Calculation'!D22</f>
        <v>0.96529542280000002</v>
      </c>
      <c r="D13" s="9">
        <v>0.96529542280000002</v>
      </c>
      <c r="E13" s="13">
        <f t="shared" si="0"/>
        <v>0</v>
      </c>
      <c r="F13" s="12">
        <f>'CCE Calculation'!E22</f>
        <v>0.71025107039987911</v>
      </c>
      <c r="G13" s="9">
        <v>0.71025107039987911</v>
      </c>
      <c r="H13" s="13">
        <f t="shared" si="1"/>
        <v>0</v>
      </c>
      <c r="I13" s="12" t="str">
        <f>'CCE Calculation'!G22</f>
        <v/>
      </c>
      <c r="J13" s="9"/>
      <c r="K13" s="13" t="str">
        <f t="shared" si="2"/>
        <v/>
      </c>
      <c r="L13" s="12">
        <f>'CCE Calculation'!F22</f>
        <v>9.6773324417836655</v>
      </c>
      <c r="M13" s="9">
        <v>9.6773324417836655</v>
      </c>
      <c r="N13" s="13">
        <f t="shared" si="3"/>
        <v>0</v>
      </c>
      <c r="O13" s="23"/>
    </row>
    <row r="14" spans="1:15" x14ac:dyDescent="0.25">
      <c r="A14" s="8">
        <f>'CCE Calculation'!A23</f>
        <v>8</v>
      </c>
      <c r="B14" s="19">
        <f>'CCE Calculation'!B23</f>
        <v>3938.73</v>
      </c>
      <c r="C14" s="12">
        <f>'CCE Calculation'!D23</f>
        <v>0.96616910970000003</v>
      </c>
      <c r="D14" s="9">
        <v>0.96616910970000003</v>
      </c>
      <c r="E14" s="13">
        <f t="shared" si="0"/>
        <v>0</v>
      </c>
      <c r="F14" s="12">
        <f>'CCE Calculation'!E23</f>
        <v>0.70960880493135048</v>
      </c>
      <c r="G14" s="9">
        <v>0.70960880493135048</v>
      </c>
      <c r="H14" s="13">
        <f t="shared" si="1"/>
        <v>0</v>
      </c>
      <c r="I14" s="12" t="str">
        <f>'CCE Calculation'!G23</f>
        <v/>
      </c>
      <c r="J14" s="9"/>
      <c r="K14" s="13" t="str">
        <f t="shared" si="2"/>
        <v/>
      </c>
      <c r="L14" s="12">
        <f>'CCE Calculation'!F23</f>
        <v>10.236258215289961</v>
      </c>
      <c r="M14" s="9">
        <v>10.236258215289959</v>
      </c>
      <c r="N14" s="13">
        <f t="shared" si="3"/>
        <v>1.735357590673998E-14</v>
      </c>
      <c r="O14" s="23"/>
    </row>
    <row r="15" spans="1:15" x14ac:dyDescent="0.25">
      <c r="A15" s="8">
        <f>'CCE Calculation'!A24</f>
        <v>9</v>
      </c>
      <c r="B15" s="19">
        <f>'CCE Calculation'!B24</f>
        <v>3532.4847</v>
      </c>
      <c r="C15" s="12">
        <f>'CCE Calculation'!D24</f>
        <v>0.97021045920000004</v>
      </c>
      <c r="D15" s="9">
        <v>0.97021045920000004</v>
      </c>
      <c r="E15" s="13">
        <f t="shared" si="0"/>
        <v>0</v>
      </c>
      <c r="F15" s="12">
        <f>'CCE Calculation'!E24</f>
        <v>0.70665297492373591</v>
      </c>
      <c r="G15" s="9">
        <v>0.70665297492373591</v>
      </c>
      <c r="H15" s="13">
        <f t="shared" si="1"/>
        <v>0</v>
      </c>
      <c r="I15" s="12" t="str">
        <f>'CCE Calculation'!G24</f>
        <v/>
      </c>
      <c r="J15" s="9"/>
      <c r="K15" s="13" t="str">
        <f t="shared" si="2"/>
        <v/>
      </c>
      <c r="L15" s="12">
        <f>'CCE Calculation'!F24</f>
        <v>10.62310251989024</v>
      </c>
      <c r="M15" s="9">
        <v>10.62310251989024</v>
      </c>
      <c r="N15" s="13">
        <f t="shared" si="3"/>
        <v>0</v>
      </c>
      <c r="O15" s="23"/>
    </row>
    <row r="16" spans="1:15" x14ac:dyDescent="0.25">
      <c r="A16" s="8">
        <f>'CCE Calculation'!A25</f>
        <v>10</v>
      </c>
      <c r="B16" s="19">
        <f>'CCE Calculation'!B25</f>
        <v>3031.1977000000002</v>
      </c>
      <c r="C16" s="12">
        <f>'CCE Calculation'!D25</f>
        <v>0.9755227231000001</v>
      </c>
      <c r="D16" s="9">
        <v>0.9755227231000001</v>
      </c>
      <c r="E16" s="13">
        <f t="shared" si="0"/>
        <v>0</v>
      </c>
      <c r="F16" s="12">
        <f>'CCE Calculation'!E25</f>
        <v>0.70280485637188317</v>
      </c>
      <c r="G16" s="9">
        <v>0.70280485637188317</v>
      </c>
      <c r="H16" s="13">
        <f t="shared" si="1"/>
        <v>0</v>
      </c>
      <c r="I16" s="12" t="str">
        <f>'CCE Calculation'!G25</f>
        <v/>
      </c>
      <c r="J16" s="9"/>
      <c r="K16" s="13" t="str">
        <f t="shared" si="2"/>
        <v/>
      </c>
      <c r="L16" s="12">
        <f>'CCE Calculation'!F25</f>
        <v>11.298114119058045</v>
      </c>
      <c r="M16" s="9">
        <v>11.298114119058051</v>
      </c>
      <c r="N16" s="13">
        <f t="shared" si="3"/>
        <v>4.7167788022352276E-14</v>
      </c>
      <c r="O16" s="23"/>
    </row>
    <row r="17" spans="1:15" x14ac:dyDescent="0.25">
      <c r="A17" s="8">
        <f>'CCE Calculation'!A26</f>
        <v>11</v>
      </c>
      <c r="B17" s="19">
        <f>'CCE Calculation'!B26</f>
        <v>2529.5335</v>
      </c>
      <c r="C17" s="12">
        <f>'CCE Calculation'!D26</f>
        <v>0.98126455309999994</v>
      </c>
      <c r="D17" s="9">
        <v>0.98126455309999994</v>
      </c>
      <c r="E17" s="13">
        <f t="shared" si="0"/>
        <v>0</v>
      </c>
      <c r="F17" s="12">
        <f>'CCE Calculation'!E26</f>
        <v>0.69869242206890836</v>
      </c>
      <c r="G17" s="9">
        <v>0.69869242206890836</v>
      </c>
      <c r="H17" s="13">
        <f t="shared" si="1"/>
        <v>0</v>
      </c>
      <c r="I17" s="12" t="str">
        <f>'CCE Calculation'!G26</f>
        <v/>
      </c>
      <c r="J17" s="9"/>
      <c r="K17" s="13" t="str">
        <f t="shared" si="2"/>
        <v/>
      </c>
      <c r="L17" s="12">
        <f>'CCE Calculation'!F26</f>
        <v>12.186544319789581</v>
      </c>
      <c r="M17" s="9"/>
      <c r="N17" s="13" t="str">
        <f t="shared" si="3"/>
        <v/>
      </c>
      <c r="O17" s="23"/>
    </row>
    <row r="18" spans="1:15" x14ac:dyDescent="0.25">
      <c r="A18" s="8">
        <f>'CCE Calculation'!A27</f>
        <v>12</v>
      </c>
      <c r="B18" s="19">
        <f>'CCE Calculation'!B27</f>
        <v>2031.2057</v>
      </c>
      <c r="C18" s="12">
        <f>'CCE Calculation'!D27</f>
        <v>0.98748085139999997</v>
      </c>
      <c r="D18" s="9">
        <v>0.98748085139999997</v>
      </c>
      <c r="E18" s="13">
        <f t="shared" si="0"/>
        <v>0</v>
      </c>
      <c r="F18" s="12">
        <f>'CCE Calculation'!E27</f>
        <v>0.69429407803077114</v>
      </c>
      <c r="G18" s="9">
        <v>0.69429407803077114</v>
      </c>
      <c r="H18" s="13">
        <f t="shared" si="1"/>
        <v>0</v>
      </c>
      <c r="I18" s="12" t="str">
        <f>'CCE Calculation'!G27</f>
        <v/>
      </c>
      <c r="J18" s="9"/>
      <c r="K18" s="13" t="str">
        <f t="shared" si="2"/>
        <v/>
      </c>
      <c r="L18" s="12">
        <f>'CCE Calculation'!F27</f>
        <v>13.279018720195429</v>
      </c>
      <c r="M18" s="9"/>
      <c r="N18" s="13" t="str">
        <f t="shared" si="3"/>
        <v/>
      </c>
      <c r="O18" s="23"/>
    </row>
    <row r="19" spans="1:15" x14ac:dyDescent="0.25">
      <c r="A19" s="8">
        <f>'CCE Calculation'!A28</f>
        <v>13</v>
      </c>
      <c r="B19" s="19">
        <f>'CCE Calculation'!B28</f>
        <v>1528.4730999999999</v>
      </c>
      <c r="C19" s="12">
        <f>'CCE Calculation'!D28</f>
        <v>0.99439123460000001</v>
      </c>
      <c r="D19" s="9">
        <v>0.99439123460000001</v>
      </c>
      <c r="E19" s="13">
        <f t="shared" si="0"/>
        <v>0</v>
      </c>
      <c r="F19" s="12">
        <f>'CCE Calculation'!E28</f>
        <v>0.68946917816667153</v>
      </c>
      <c r="G19" s="9">
        <v>0.68946917816667153</v>
      </c>
      <c r="H19" s="13">
        <f t="shared" si="1"/>
        <v>0</v>
      </c>
      <c r="I19" s="12" t="str">
        <f>'CCE Calculation'!G28</f>
        <v/>
      </c>
      <c r="J19" s="9"/>
      <c r="K19" s="13" t="str">
        <f t="shared" si="2"/>
        <v/>
      </c>
      <c r="L19" s="12">
        <f>'CCE Calculation'!F28</f>
        <v>14.172775770578308</v>
      </c>
      <c r="M19" s="9"/>
      <c r="N19" s="13" t="str">
        <f t="shared" si="3"/>
        <v/>
      </c>
      <c r="O19" s="23"/>
    </row>
    <row r="20" spans="1:15" x14ac:dyDescent="0.25">
      <c r="A20" s="8">
        <f>'CCE Calculation'!A29</f>
        <v>14</v>
      </c>
      <c r="B20" s="19">
        <f>'CCE Calculation'!B29</f>
        <v>1295.0730000000001</v>
      </c>
      <c r="C20" s="12">
        <f>'CCE Calculation'!D29</f>
        <v>0.99785537860000006</v>
      </c>
      <c r="D20" s="9">
        <v>0.99785537860000006</v>
      </c>
      <c r="E20" s="13">
        <f t="shared" si="0"/>
        <v>0</v>
      </c>
      <c r="F20" s="12">
        <f>'CCE Calculation'!E29</f>
        <v>0.68707562438327463</v>
      </c>
      <c r="G20" s="9">
        <v>0.68707562438327463</v>
      </c>
      <c r="H20" s="13">
        <f t="shared" si="1"/>
        <v>0</v>
      </c>
      <c r="I20" s="12" t="str">
        <f>'CCE Calculation'!G29</f>
        <v/>
      </c>
      <c r="J20" s="9"/>
      <c r="K20" s="13" t="str">
        <f t="shared" si="2"/>
        <v/>
      </c>
      <c r="L20" s="12">
        <f>'CCE Calculation'!F29</f>
        <v>14.944624483881903</v>
      </c>
      <c r="M20" s="9"/>
      <c r="N20" s="13" t="str">
        <f t="shared" si="3"/>
        <v/>
      </c>
      <c r="O20" s="23"/>
    </row>
    <row r="21" spans="1:15" x14ac:dyDescent="0.25">
      <c r="A21" s="8">
        <f>'CCE Calculation'!A30</f>
        <v>15</v>
      </c>
      <c r="B21" s="19">
        <f>'CCE Calculation'!B30</f>
        <v>1249.8194000000001</v>
      </c>
      <c r="C21" s="12">
        <f>'CCE Calculation'!D30</f>
        <v>0.99854667850000001</v>
      </c>
      <c r="D21" s="9">
        <v>0.99854667850000001</v>
      </c>
      <c r="E21" s="13">
        <f t="shared" si="0"/>
        <v>0</v>
      </c>
      <c r="F21" s="12">
        <f>'CCE Calculation'!E30</f>
        <v>0.68659995777633931</v>
      </c>
      <c r="G21" s="9">
        <v>0.68659995777633931</v>
      </c>
      <c r="H21" s="13">
        <f t="shared" si="1"/>
        <v>0</v>
      </c>
      <c r="I21" s="12" t="str">
        <f>'CCE Calculation'!G30</f>
        <v/>
      </c>
      <c r="J21" s="9"/>
      <c r="K21" s="13" t="str">
        <f t="shared" si="2"/>
        <v/>
      </c>
      <c r="L21" s="12">
        <f>'CCE Calculation'!F30</f>
        <v>15.328290438628578</v>
      </c>
      <c r="M21" s="9"/>
      <c r="N21" s="13" t="str">
        <f t="shared" si="3"/>
        <v/>
      </c>
      <c r="O21" s="23"/>
    </row>
    <row r="22" spans="1:15" x14ac:dyDescent="0.25">
      <c r="A22" s="8">
        <f>'CCE Calculation'!A31</f>
        <v>16</v>
      </c>
      <c r="B22" s="19">
        <f>'CCE Calculation'!B31</f>
        <v>1229.3027</v>
      </c>
      <c r="C22" s="12">
        <f>'CCE Calculation'!D31</f>
        <v>0.99886205970000008</v>
      </c>
      <c r="D22" s="9">
        <v>0.99886205970000008</v>
      </c>
      <c r="E22" s="13">
        <f t="shared" si="0"/>
        <v>0</v>
      </c>
      <c r="F22" s="12">
        <f>'CCE Calculation'!E31</f>
        <v>0.68638317036660579</v>
      </c>
      <c r="G22" s="9">
        <v>0.68638317036660579</v>
      </c>
      <c r="H22" s="13">
        <f t="shared" si="1"/>
        <v>0</v>
      </c>
      <c r="I22" s="12" t="str">
        <f>'CCE Calculation'!G31</f>
        <v/>
      </c>
      <c r="J22" s="9"/>
      <c r="K22" s="13" t="str">
        <f t="shared" si="2"/>
        <v/>
      </c>
      <c r="L22" s="12">
        <f>'CCE Calculation'!F31</f>
        <v>15.415463045523387</v>
      </c>
      <c r="M22" s="9"/>
      <c r="N22" s="13" t="str">
        <f t="shared" si="3"/>
        <v/>
      </c>
      <c r="O22" s="23"/>
    </row>
    <row r="23" spans="1:15" x14ac:dyDescent="0.25">
      <c r="A23" s="8">
        <f>'CCE Calculation'!A32</f>
        <v>17</v>
      </c>
      <c r="B23" s="19">
        <f>'CCE Calculation'!B32</f>
        <v>1209.9315999999999</v>
      </c>
      <c r="C23" s="12">
        <f>'CCE Calculation'!D32</f>
        <v>0.99916086770000012</v>
      </c>
      <c r="D23" s="9">
        <v>0.99916086770000012</v>
      </c>
      <c r="E23" s="13">
        <f t="shared" si="0"/>
        <v>0</v>
      </c>
      <c r="F23" s="12">
        <f>'CCE Calculation'!E32</f>
        <v>0.68617790133636136</v>
      </c>
      <c r="G23" s="9">
        <v>0.68617790133636136</v>
      </c>
      <c r="H23" s="13">
        <f t="shared" si="1"/>
        <v>0</v>
      </c>
      <c r="I23" s="12" t="str">
        <f>'CCE Calculation'!G32</f>
        <v/>
      </c>
      <c r="J23" s="9"/>
      <c r="K23" s="13" t="str">
        <f t="shared" si="2"/>
        <v/>
      </c>
      <c r="L23" s="12">
        <f>'CCE Calculation'!F32</f>
        <v>15.461318054693082</v>
      </c>
      <c r="M23" s="9"/>
      <c r="N23" s="13" t="str">
        <f t="shared" si="3"/>
        <v/>
      </c>
      <c r="O23" s="23"/>
    </row>
    <row r="24" spans="1:15" x14ac:dyDescent="0.25">
      <c r="A24" s="8">
        <f>'CCE Calculation'!A33</f>
        <v>18</v>
      </c>
      <c r="B24" s="19">
        <f>'CCE Calculation'!B33</f>
        <v>1190.4659999999999</v>
      </c>
      <c r="C24" s="12">
        <f>'CCE Calculation'!D33</f>
        <v>0.99946202240000004</v>
      </c>
      <c r="D24" s="9">
        <v>0.99946202240000004</v>
      </c>
      <c r="E24" s="13">
        <f t="shared" si="0"/>
        <v>0</v>
      </c>
      <c r="F24" s="12">
        <f>'CCE Calculation'!E33</f>
        <v>0.68597114440574047</v>
      </c>
      <c r="G24" s="9">
        <v>0.68597114440574047</v>
      </c>
      <c r="H24" s="13">
        <f t="shared" si="1"/>
        <v>0</v>
      </c>
      <c r="I24" s="12" t="str">
        <f>'CCE Calculation'!G33</f>
        <v/>
      </c>
      <c r="J24" s="9"/>
      <c r="K24" s="13" t="str">
        <f t="shared" si="2"/>
        <v/>
      </c>
      <c r="L24" s="12">
        <f>'CCE Calculation'!F33</f>
        <v>15.492725853315763</v>
      </c>
      <c r="M24" s="9"/>
      <c r="N24" s="13" t="str">
        <f t="shared" si="3"/>
        <v/>
      </c>
      <c r="O24" s="23"/>
    </row>
    <row r="25" spans="1:15" x14ac:dyDescent="0.25">
      <c r="A25" s="8">
        <f>'CCE Calculation'!A34</f>
        <v>19</v>
      </c>
      <c r="B25" s="19">
        <f>'CCE Calculation'!B34</f>
        <v>1174.8298</v>
      </c>
      <c r="C25" s="12">
        <f>'CCE Calculation'!D34</f>
        <v>0.99970439769999997</v>
      </c>
      <c r="D25" s="9">
        <v>0.99970439769999997</v>
      </c>
      <c r="E25" s="13">
        <f t="shared" si="0"/>
        <v>0</v>
      </c>
      <c r="F25" s="12">
        <f>'CCE Calculation'!E34</f>
        <v>0.68580483278172533</v>
      </c>
      <c r="G25" s="9"/>
      <c r="H25" s="13" t="str">
        <f t="shared" si="1"/>
        <v/>
      </c>
      <c r="I25" s="12" t="str">
        <f>'CCE Calculation'!G34</f>
        <v/>
      </c>
      <c r="J25" s="9"/>
      <c r="K25" s="13" t="str">
        <f t="shared" si="2"/>
        <v/>
      </c>
      <c r="L25" s="12">
        <f>'CCE Calculation'!F34</f>
        <v>15.492188923267747</v>
      </c>
      <c r="M25" s="9"/>
      <c r="N25" s="13" t="str">
        <f t="shared" si="3"/>
        <v/>
      </c>
      <c r="O25" s="23"/>
    </row>
    <row r="26" spans="1:15" x14ac:dyDescent="0.25">
      <c r="A26" s="8">
        <f>'CCE Calculation'!A35</f>
        <v>20</v>
      </c>
      <c r="B26" s="19">
        <f>'CCE Calculation'!B35</f>
        <v>1155.73</v>
      </c>
      <c r="C26" s="12">
        <f>'CCE Calculation'!D35</f>
        <v>1</v>
      </c>
      <c r="D26" s="9">
        <v>1</v>
      </c>
      <c r="E26" s="13">
        <f t="shared" si="0"/>
        <v>0</v>
      </c>
      <c r="F26" s="12">
        <f>'CCE Calculation'!E35</f>
        <v>0.68560210729580395</v>
      </c>
      <c r="G26" s="9"/>
      <c r="H26" s="13" t="str">
        <f t="shared" si="1"/>
        <v/>
      </c>
      <c r="I26" s="12" t="str">
        <f>'CCE Calculation'!G35</f>
        <v/>
      </c>
      <c r="J26" s="9"/>
      <c r="K26" s="13" t="str">
        <f t="shared" si="2"/>
        <v/>
      </c>
      <c r="L26" s="12">
        <f>'CCE Calculation'!F35</f>
        <v>85.166679743004252</v>
      </c>
      <c r="M26" s="9"/>
      <c r="N26" s="13" t="str">
        <f t="shared" si="3"/>
        <v/>
      </c>
      <c r="O26" s="23"/>
    </row>
    <row r="27" spans="1:15" x14ac:dyDescent="0.25">
      <c r="A27" s="8">
        <f>'CCE Calculation'!A36</f>
        <v>21</v>
      </c>
      <c r="B27" s="19">
        <f>'CCE Calculation'!B36</f>
        <v>1151.8876</v>
      </c>
      <c r="C27" s="12">
        <f>'CCE Calculation'!D36</f>
        <v>1.0016583086999999</v>
      </c>
      <c r="D27" s="9">
        <v>1.0016583086999999</v>
      </c>
      <c r="E27" s="13">
        <f t="shared" si="0"/>
        <v>0</v>
      </c>
      <c r="F27" s="12" t="str">
        <f>'CCE Calculation'!E36</f>
        <v/>
      </c>
      <c r="G27" s="9"/>
      <c r="H27" s="13" t="str">
        <f t="shared" si="1"/>
        <v/>
      </c>
      <c r="I27" s="12">
        <f>'CCE Calculation'!G36</f>
        <v>2.0115326737256582</v>
      </c>
      <c r="J27" s="9">
        <v>2.0115326737256578</v>
      </c>
      <c r="K27" s="13">
        <f t="shared" si="2"/>
        <v>2.2077156173036116E-14</v>
      </c>
      <c r="L27" s="12" t="str">
        <f>'CCE Calculation'!F36</f>
        <v/>
      </c>
      <c r="M27" s="9"/>
      <c r="N27" s="13" t="str">
        <f t="shared" si="3"/>
        <v/>
      </c>
      <c r="O27" s="23"/>
    </row>
    <row r="28" spans="1:15" x14ac:dyDescent="0.25">
      <c r="A28" s="8">
        <f>'CCE Calculation'!A37</f>
        <v>22</v>
      </c>
      <c r="B28" s="19">
        <f>'CCE Calculation'!B37</f>
        <v>1151.5455999999999</v>
      </c>
      <c r="C28" s="12">
        <f>'CCE Calculation'!D37</f>
        <v>1.0018065658999999</v>
      </c>
      <c r="D28" s="9">
        <v>1.0018065658999999</v>
      </c>
      <c r="E28" s="13">
        <f t="shared" si="0"/>
        <v>0</v>
      </c>
      <c r="F28" s="12" t="str">
        <f>'CCE Calculation'!E37</f>
        <v/>
      </c>
      <c r="G28" s="9"/>
      <c r="H28" s="13" t="str">
        <f t="shared" si="1"/>
        <v/>
      </c>
      <c r="I28" s="12">
        <f>'CCE Calculation'!G37</f>
        <v>2.01139906897038</v>
      </c>
      <c r="J28" s="9">
        <v>2.01139906897038</v>
      </c>
      <c r="K28" s="13">
        <f t="shared" si="2"/>
        <v>0</v>
      </c>
      <c r="L28" s="12" t="str">
        <f>'CCE Calculation'!F37</f>
        <v/>
      </c>
      <c r="M28" s="9"/>
      <c r="N28" s="13" t="str">
        <f t="shared" si="3"/>
        <v/>
      </c>
      <c r="O28" s="23"/>
    </row>
    <row r="29" spans="1:15" x14ac:dyDescent="0.25">
      <c r="A29" s="8">
        <f>'CCE Calculation'!A38</f>
        <v>23</v>
      </c>
      <c r="B29" s="19">
        <f>'CCE Calculation'!B38</f>
        <v>1150.7910999999999</v>
      </c>
      <c r="C29" s="12">
        <f>'CCE Calculation'!D38</f>
        <v>1.0021340235</v>
      </c>
      <c r="D29" s="9">
        <v>1.0021340235</v>
      </c>
      <c r="E29" s="13">
        <f t="shared" si="0"/>
        <v>0</v>
      </c>
      <c r="F29" s="12" t="str">
        <f>'CCE Calculation'!E38</f>
        <v/>
      </c>
      <c r="G29" s="9"/>
      <c r="H29" s="13" t="str">
        <f t="shared" si="1"/>
        <v/>
      </c>
      <c r="I29" s="12">
        <f>'CCE Calculation'!G38</f>
        <v>2.0111040510915226</v>
      </c>
      <c r="J29" s="9">
        <v>2.011104051091523</v>
      </c>
      <c r="K29" s="13">
        <f t="shared" si="2"/>
        <v>2.2081861433725127E-14</v>
      </c>
      <c r="L29" s="12" t="str">
        <f>'CCE Calculation'!F38</f>
        <v/>
      </c>
      <c r="M29" s="9"/>
      <c r="N29" s="13" t="str">
        <f t="shared" si="3"/>
        <v/>
      </c>
      <c r="O29" s="23"/>
    </row>
    <row r="30" spans="1:15" x14ac:dyDescent="0.25">
      <c r="A30" s="8">
        <f>'CCE Calculation'!A39</f>
        <v>24</v>
      </c>
      <c r="B30" s="19">
        <f>'CCE Calculation'!B39</f>
        <v>1148.6789000000001</v>
      </c>
      <c r="C30" s="12">
        <f>'CCE Calculation'!D39</f>
        <v>1.0030535297000001</v>
      </c>
      <c r="D30" s="9">
        <v>1.0030535297000001</v>
      </c>
      <c r="E30" s="13">
        <f t="shared" si="0"/>
        <v>0</v>
      </c>
      <c r="F30" s="12" t="str">
        <f>'CCE Calculation'!E39</f>
        <v/>
      </c>
      <c r="G30" s="9"/>
      <c r="H30" s="13" t="str">
        <f t="shared" si="1"/>
        <v/>
      </c>
      <c r="I30" s="12">
        <f>'CCE Calculation'!G39</f>
        <v>2.0102778240400117</v>
      </c>
      <c r="J30" s="9">
        <v>2.0102778240400121</v>
      </c>
      <c r="K30" s="13">
        <f t="shared" si="2"/>
        <v>2.2090937110254055E-14</v>
      </c>
      <c r="L30" s="12" t="str">
        <f>'CCE Calculation'!F39</f>
        <v/>
      </c>
      <c r="M30" s="9"/>
      <c r="N30" s="13" t="str">
        <f t="shared" si="3"/>
        <v/>
      </c>
      <c r="O30" s="23"/>
    </row>
    <row r="31" spans="1:15" x14ac:dyDescent="0.25">
      <c r="A31" s="8">
        <f>'CCE Calculation'!A40</f>
        <v>25</v>
      </c>
      <c r="B31" s="19">
        <f>'CCE Calculation'!B40</f>
        <v>1147.4115999999999</v>
      </c>
      <c r="C31" s="12">
        <f>'CCE Calculation'!D40</f>
        <v>1.0036072119999999</v>
      </c>
      <c r="D31" s="9">
        <v>1.0036072119999999</v>
      </c>
      <c r="E31" s="13">
        <f t="shared" si="0"/>
        <v>0</v>
      </c>
      <c r="F31" s="12" t="str">
        <f>'CCE Calculation'!E40</f>
        <v/>
      </c>
      <c r="G31" s="9"/>
      <c r="H31" s="13" t="str">
        <f t="shared" si="1"/>
        <v/>
      </c>
      <c r="I31" s="12">
        <f>'CCE Calculation'!G40</f>
        <v>2.0097817435972019</v>
      </c>
      <c r="J31" s="9">
        <v>2.0097817435972019</v>
      </c>
      <c r="K31" s="13">
        <f t="shared" si="2"/>
        <v>0</v>
      </c>
      <c r="L31" s="12" t="str">
        <f>'CCE Calculation'!F40</f>
        <v/>
      </c>
      <c r="M31" s="9"/>
      <c r="N31" s="13" t="str">
        <f t="shared" si="3"/>
        <v/>
      </c>
      <c r="O31" s="23"/>
    </row>
    <row r="32" spans="1:15" x14ac:dyDescent="0.25">
      <c r="A32" s="8">
        <f>'CCE Calculation'!A41</f>
        <v>26</v>
      </c>
      <c r="B32" s="19">
        <f>'CCE Calculation'!B41</f>
        <v>1142.4438</v>
      </c>
      <c r="C32" s="12">
        <f>'CCE Calculation'!D41</f>
        <v>1.0057921268000001</v>
      </c>
      <c r="D32" s="9">
        <v>1.0057921268000001</v>
      </c>
      <c r="E32" s="13">
        <f t="shared" si="0"/>
        <v>0</v>
      </c>
      <c r="F32" s="12" t="str">
        <f>'CCE Calculation'!E41</f>
        <v/>
      </c>
      <c r="G32" s="9"/>
      <c r="H32" s="13" t="str">
        <f t="shared" si="1"/>
        <v/>
      </c>
      <c r="I32" s="12">
        <f>'CCE Calculation'!G41</f>
        <v>2.0078343496977471</v>
      </c>
      <c r="J32" s="9">
        <v>2.0078343496977471</v>
      </c>
      <c r="K32" s="13">
        <f t="shared" si="2"/>
        <v>0</v>
      </c>
      <c r="L32" s="12" t="str">
        <f>'CCE Calculation'!F41</f>
        <v/>
      </c>
      <c r="M32" s="9"/>
      <c r="N32" s="13" t="str">
        <f t="shared" si="3"/>
        <v/>
      </c>
      <c r="O32" s="23"/>
    </row>
    <row r="33" spans="1:15" x14ac:dyDescent="0.25">
      <c r="A33" s="8">
        <f>'CCE Calculation'!A42</f>
        <v>27</v>
      </c>
      <c r="B33" s="19">
        <f>'CCE Calculation'!B42</f>
        <v>1138.6956</v>
      </c>
      <c r="C33" s="12">
        <f>'CCE Calculation'!D42</f>
        <v>1.0074560678</v>
      </c>
      <c r="D33" s="9"/>
      <c r="E33" s="13" t="str">
        <f t="shared" si="0"/>
        <v/>
      </c>
      <c r="F33" s="12" t="str">
        <f>'CCE Calculation'!E42</f>
        <v/>
      </c>
      <c r="G33" s="9"/>
      <c r="H33" s="13" t="str">
        <f t="shared" si="1"/>
        <v/>
      </c>
      <c r="I33" s="12">
        <f>'CCE Calculation'!G42</f>
        <v>2.0063622599158757</v>
      </c>
      <c r="J33" s="9">
        <v>2.0063622599158761</v>
      </c>
      <c r="K33" s="13">
        <f t="shared" si="2"/>
        <v>2.2134049205485091E-14</v>
      </c>
      <c r="L33" s="12" t="str">
        <f>'CCE Calculation'!F42</f>
        <v/>
      </c>
      <c r="M33" s="9"/>
      <c r="N33" s="13" t="str">
        <f t="shared" si="3"/>
        <v/>
      </c>
      <c r="O33" s="23"/>
    </row>
    <row r="34" spans="1:15" x14ac:dyDescent="0.25">
      <c r="A34" s="8">
        <f>'CCE Calculation'!A43</f>
        <v>28</v>
      </c>
      <c r="B34" s="19">
        <f>'CCE Calculation'!B43</f>
        <v>1127.7299</v>
      </c>
      <c r="C34" s="12">
        <f>'CCE Calculation'!D43</f>
        <v>1.0124017057999999</v>
      </c>
      <c r="D34" s="9"/>
      <c r="E34" s="13" t="str">
        <f t="shared" si="0"/>
        <v/>
      </c>
      <c r="F34" s="12" t="str">
        <f>'CCE Calculation'!E43</f>
        <v/>
      </c>
      <c r="G34" s="9"/>
      <c r="H34" s="13" t="str">
        <f t="shared" si="1"/>
        <v/>
      </c>
      <c r="I34" s="12">
        <f>'CCE Calculation'!G43</f>
        <v>2.0020414398067468</v>
      </c>
      <c r="J34" s="9">
        <v>2.0020414398067472</v>
      </c>
      <c r="K34" s="13">
        <f t="shared" si="2"/>
        <v>2.2181819068287104E-14</v>
      </c>
      <c r="L34" s="12" t="str">
        <f>'CCE Calculation'!F43</f>
        <v/>
      </c>
      <c r="M34" s="9"/>
      <c r="N34" s="13" t="str">
        <f t="shared" si="3"/>
        <v/>
      </c>
      <c r="O34" s="23"/>
    </row>
    <row r="35" spans="1:15" x14ac:dyDescent="0.25">
      <c r="A35" s="8">
        <f>'CCE Calculation'!A44</f>
        <v>29</v>
      </c>
      <c r="B35" s="19">
        <f>'CCE Calculation'!B44</f>
        <v>1107.0789</v>
      </c>
      <c r="C35" s="12">
        <f>'CCE Calculation'!D44</f>
        <v>1.0220405460999999</v>
      </c>
      <c r="D35" s="9"/>
      <c r="E35" s="13" t="str">
        <f t="shared" si="0"/>
        <v/>
      </c>
      <c r="F35" s="12" t="str">
        <f>'CCE Calculation'!E44</f>
        <v/>
      </c>
      <c r="G35" s="9"/>
      <c r="H35" s="13" t="str">
        <f t="shared" si="1"/>
        <v/>
      </c>
      <c r="I35" s="12">
        <f>'CCE Calculation'!G44</f>
        <v>1.9938465890685613</v>
      </c>
      <c r="J35" s="9">
        <v>1.993846589068561</v>
      </c>
      <c r="K35" s="13">
        <f t="shared" si="2"/>
        <v>1.1136493958081344E-14</v>
      </c>
      <c r="L35" s="12" t="str">
        <f>'CCE Calculation'!F44</f>
        <v/>
      </c>
      <c r="M35" s="9"/>
      <c r="N35" s="13" t="str">
        <f t="shared" si="3"/>
        <v/>
      </c>
      <c r="O35" s="23"/>
    </row>
    <row r="36" spans="1:15" x14ac:dyDescent="0.25">
      <c r="A36" s="8">
        <f>'CCE Calculation'!A45</f>
        <v>30</v>
      </c>
      <c r="B36" s="19">
        <f>'CCE Calculation'!B45</f>
        <v>1066.4922999999999</v>
      </c>
      <c r="C36" s="12">
        <f>'CCE Calculation'!D45</f>
        <v>1.0423127391</v>
      </c>
      <c r="D36" s="9"/>
      <c r="E36" s="13" t="str">
        <f t="shared" si="0"/>
        <v/>
      </c>
      <c r="F36" s="12" t="str">
        <f>'CCE Calculation'!E45</f>
        <v/>
      </c>
      <c r="G36" s="9"/>
      <c r="H36" s="13" t="str">
        <f t="shared" si="1"/>
        <v/>
      </c>
      <c r="I36" s="12">
        <f>'CCE Calculation'!G45</f>
        <v>1.9775137137779255</v>
      </c>
      <c r="J36" s="9"/>
      <c r="K36" s="13" t="str">
        <f t="shared" si="2"/>
        <v/>
      </c>
      <c r="L36" s="12" t="str">
        <f>'CCE Calculation'!F45</f>
        <v/>
      </c>
      <c r="M36" s="9"/>
      <c r="N36" s="13" t="str">
        <f t="shared" si="3"/>
        <v/>
      </c>
      <c r="O36" s="23"/>
    </row>
    <row r="37" spans="1:15" x14ac:dyDescent="0.25">
      <c r="A37" s="8">
        <f>'CCE Calculation'!A46</f>
        <v>31</v>
      </c>
      <c r="B37" s="19">
        <f>'CCE Calculation'!B46</f>
        <v>996.22199999999998</v>
      </c>
      <c r="C37" s="12">
        <f>'CCE Calculation'!D46</f>
        <v>1.0821733195999999</v>
      </c>
      <c r="D37" s="9"/>
      <c r="E37" s="13" t="str">
        <f t="shared" si="0"/>
        <v/>
      </c>
      <c r="F37" s="12" t="str">
        <f>'CCE Calculation'!E46</f>
        <v/>
      </c>
      <c r="G37" s="9"/>
      <c r="H37" s="13" t="str">
        <f t="shared" si="1"/>
        <v/>
      </c>
      <c r="I37" s="12">
        <f>'CCE Calculation'!G46</f>
        <v>1.9484780137930287</v>
      </c>
      <c r="J37" s="9"/>
      <c r="K37" s="13" t="str">
        <f t="shared" si="2"/>
        <v/>
      </c>
      <c r="L37" s="12" t="str">
        <f>'CCE Calculation'!F46</f>
        <v/>
      </c>
      <c r="M37" s="9"/>
      <c r="N37" s="13" t="str">
        <f t="shared" si="3"/>
        <v/>
      </c>
      <c r="O37" s="23"/>
    </row>
    <row r="38" spans="1:15" x14ac:dyDescent="0.25">
      <c r="A38" s="8">
        <f>'CCE Calculation'!A47</f>
        <v>32</v>
      </c>
      <c r="B38" s="19">
        <f>'CCE Calculation'!B47</f>
        <v>883.04759999999999</v>
      </c>
      <c r="C38" s="12">
        <f>'CCE Calculation'!D47</f>
        <v>1.1625714743</v>
      </c>
      <c r="D38" s="9"/>
      <c r="E38" s="13" t="str">
        <f t="shared" si="0"/>
        <v/>
      </c>
      <c r="F38" s="12" t="str">
        <f>'CCE Calculation'!E47</f>
        <v/>
      </c>
      <c r="G38" s="9"/>
      <c r="H38" s="13" t="str">
        <f t="shared" si="1"/>
        <v/>
      </c>
      <c r="I38" s="12">
        <f>'CCE Calculation'!G47</f>
        <v>1.8994534250558652</v>
      </c>
      <c r="J38" s="9"/>
      <c r="K38" s="13" t="str">
        <f t="shared" si="2"/>
        <v/>
      </c>
      <c r="L38" s="12" t="str">
        <f>'CCE Calculation'!F47</f>
        <v/>
      </c>
      <c r="M38" s="9"/>
      <c r="N38" s="13" t="str">
        <f t="shared" si="3"/>
        <v/>
      </c>
      <c r="O38" s="23"/>
    </row>
    <row r="39" spans="1:15" x14ac:dyDescent="0.25">
      <c r="A39" s="8">
        <f>'CCE Calculation'!A48</f>
        <v>33</v>
      </c>
      <c r="B39" s="19">
        <f>'CCE Calculation'!B48</f>
        <v>726.87980000000005</v>
      </c>
      <c r="C39" s="12">
        <f>'CCE Calculation'!D48</f>
        <v>1.3230581577999998</v>
      </c>
      <c r="D39" s="9"/>
      <c r="E39" s="13" t="str">
        <f t="shared" si="0"/>
        <v/>
      </c>
      <c r="F39" s="12" t="str">
        <f>'CCE Calculation'!E48</f>
        <v/>
      </c>
      <c r="G39" s="9"/>
      <c r="H39" s="13" t="str">
        <f t="shared" si="1"/>
        <v/>
      </c>
      <c r="I39" s="12">
        <f>'CCE Calculation'!G48</f>
        <v>1.8262587289730097</v>
      </c>
      <c r="J39" s="9"/>
      <c r="K39" s="13" t="str">
        <f t="shared" si="2"/>
        <v/>
      </c>
      <c r="L39" s="12" t="str">
        <f>'CCE Calculation'!F48</f>
        <v/>
      </c>
      <c r="M39" s="9"/>
      <c r="N39" s="13" t="str">
        <f t="shared" si="3"/>
        <v/>
      </c>
      <c r="O39" s="23"/>
    </row>
    <row r="40" spans="1:15" x14ac:dyDescent="0.25">
      <c r="A40" s="8">
        <f>'CCE Calculation'!A49</f>
        <v>34</v>
      </c>
      <c r="B40" s="19">
        <f>'CCE Calculation'!B49</f>
        <v>581.85440000000006</v>
      </c>
      <c r="C40" s="12">
        <f>'CCE Calculation'!D49</f>
        <v>1.5633538735999999</v>
      </c>
      <c r="D40" s="9"/>
      <c r="E40" s="13" t="str">
        <f t="shared" si="0"/>
        <v/>
      </c>
      <c r="F40" s="12" t="str">
        <f>'CCE Calculation'!E49</f>
        <v/>
      </c>
      <c r="G40" s="9"/>
      <c r="H40" s="13" t="str">
        <f t="shared" si="1"/>
        <v/>
      </c>
      <c r="I40" s="12">
        <f>'CCE Calculation'!G49</f>
        <v>1.7507420066422137</v>
      </c>
      <c r="J40" s="9"/>
      <c r="K40" s="13" t="str">
        <f t="shared" si="2"/>
        <v/>
      </c>
      <c r="L40" s="12" t="str">
        <f>'CCE Calculation'!F49</f>
        <v/>
      </c>
      <c r="M40" s="9"/>
      <c r="N40" s="13" t="str">
        <f t="shared" si="3"/>
        <v/>
      </c>
      <c r="O40" s="23"/>
    </row>
    <row r="41" spans="1:15" x14ac:dyDescent="0.25">
      <c r="A41" s="8">
        <f>'CCE Calculation'!A50</f>
        <v>35</v>
      </c>
      <c r="B41" s="19">
        <f>'CCE Calculation'!B50</f>
        <v>464.68110000000001</v>
      </c>
      <c r="C41" s="12">
        <f>'CCE Calculation'!D50</f>
        <v>1.8839575353</v>
      </c>
      <c r="D41" s="9"/>
      <c r="E41" s="13" t="str">
        <f t="shared" si="0"/>
        <v/>
      </c>
      <c r="F41" s="12" t="str">
        <f>'CCE Calculation'!E50</f>
        <v/>
      </c>
      <c r="G41" s="9"/>
      <c r="H41" s="13" t="str">
        <f t="shared" si="1"/>
        <v/>
      </c>
      <c r="I41" s="12">
        <f>'CCE Calculation'!G50</f>
        <v>1.6823733063921877</v>
      </c>
      <c r="J41" s="9"/>
      <c r="K41" s="13" t="str">
        <f t="shared" si="2"/>
        <v/>
      </c>
      <c r="L41" s="12" t="str">
        <f>'CCE Calculation'!F50</f>
        <v/>
      </c>
      <c r="M41" s="9"/>
      <c r="N41" s="13" t="str">
        <f t="shared" si="3"/>
        <v/>
      </c>
      <c r="O41" s="23"/>
    </row>
    <row r="42" spans="1:15" x14ac:dyDescent="0.25">
      <c r="A42" s="8">
        <f>'CCE Calculation'!A51</f>
        <v>36</v>
      </c>
      <c r="B42" s="19">
        <f>'CCE Calculation'!B51</f>
        <v>389.48180000000002</v>
      </c>
      <c r="C42" s="12">
        <f>'CCE Calculation'!D51</f>
        <v>2.2042188615000002</v>
      </c>
      <c r="D42" s="9"/>
      <c r="E42" s="13" t="str">
        <f t="shared" si="0"/>
        <v/>
      </c>
      <c r="F42" s="12" t="str">
        <f>'CCE Calculation'!E51</f>
        <v/>
      </c>
      <c r="G42" s="9"/>
      <c r="H42" s="13" t="str">
        <f t="shared" si="1"/>
        <v/>
      </c>
      <c r="I42" s="12">
        <f>'CCE Calculation'!G51</f>
        <v>1.6337171709742262</v>
      </c>
      <c r="J42" s="9"/>
      <c r="K42" s="13" t="str">
        <f t="shared" si="2"/>
        <v/>
      </c>
      <c r="L42" s="12" t="str">
        <f>'CCE Calculation'!F51</f>
        <v/>
      </c>
      <c r="M42" s="9"/>
      <c r="N42" s="13" t="str">
        <f t="shared" si="3"/>
        <v/>
      </c>
      <c r="O42" s="23"/>
    </row>
    <row r="43" spans="1:15" x14ac:dyDescent="0.25">
      <c r="A43" s="8">
        <f>'CCE Calculation'!A52</f>
        <v>37</v>
      </c>
      <c r="B43" s="19">
        <f>'CCE Calculation'!B52</f>
        <v>325.73079999999999</v>
      </c>
      <c r="C43" s="12">
        <f>'CCE Calculation'!D52</f>
        <v>2.6040870006999999</v>
      </c>
      <c r="D43" s="9"/>
      <c r="E43" s="13" t="str">
        <f t="shared" si="0"/>
        <v/>
      </c>
      <c r="F43" s="12" t="str">
        <f>'CCE Calculation'!E52</f>
        <v/>
      </c>
      <c r="G43" s="9"/>
      <c r="H43" s="13" t="str">
        <f t="shared" si="1"/>
        <v/>
      </c>
      <c r="I43" s="12">
        <f>'CCE Calculation'!G52</f>
        <v>1.5885135674900581</v>
      </c>
      <c r="J43" s="9"/>
      <c r="K43" s="13" t="str">
        <f t="shared" si="2"/>
        <v/>
      </c>
      <c r="L43" s="12" t="str">
        <f>'CCE Calculation'!F52</f>
        <v/>
      </c>
      <c r="M43" s="9"/>
      <c r="N43" s="13" t="str">
        <f t="shared" si="3"/>
        <v/>
      </c>
      <c r="O43" s="23"/>
    </row>
    <row r="44" spans="1:15" x14ac:dyDescent="0.25">
      <c r="A44" s="8">
        <f>'CCE Calculation'!A53</f>
        <v>38</v>
      </c>
      <c r="B44" s="19">
        <f>'CCE Calculation'!B53</f>
        <v>281.23540000000003</v>
      </c>
      <c r="C44" s="12">
        <f>'CCE Calculation'!D53</f>
        <v>3.0007323351999999</v>
      </c>
      <c r="D44" s="9"/>
      <c r="E44" s="13" t="str">
        <f t="shared" si="0"/>
        <v/>
      </c>
      <c r="F44" s="12" t="str">
        <f>'CCE Calculation'!E53</f>
        <v/>
      </c>
      <c r="G44" s="9"/>
      <c r="H44" s="13" t="str">
        <f t="shared" si="1"/>
        <v/>
      </c>
      <c r="I44" s="12">
        <f>'CCE Calculation'!G53</f>
        <v>1.5541686886133397</v>
      </c>
      <c r="J44" s="9"/>
      <c r="K44" s="13" t="str">
        <f t="shared" si="2"/>
        <v/>
      </c>
      <c r="L44" s="12" t="str">
        <f>'CCE Calculation'!F53</f>
        <v/>
      </c>
      <c r="M44" s="9"/>
      <c r="N44" s="13" t="str">
        <f t="shared" si="3"/>
        <v/>
      </c>
      <c r="O44" s="23"/>
    </row>
    <row r="45" spans="1:15" x14ac:dyDescent="0.25">
      <c r="A45" s="8">
        <f>'CCE Calculation'!A54</f>
        <v>39</v>
      </c>
      <c r="B45" s="19">
        <f>'CCE Calculation'!B54</f>
        <v>248.22559999999999</v>
      </c>
      <c r="C45" s="12">
        <f>'CCE Calculation'!D54</f>
        <v>3.3945179985</v>
      </c>
      <c r="D45" s="9"/>
      <c r="E45" s="13" t="str">
        <f t="shared" si="0"/>
        <v/>
      </c>
      <c r="F45" s="12" t="str">
        <f>'CCE Calculation'!E54</f>
        <v/>
      </c>
      <c r="G45" s="9"/>
      <c r="H45" s="13" t="str">
        <f t="shared" si="1"/>
        <v/>
      </c>
      <c r="I45" s="12">
        <f>'CCE Calculation'!G54</f>
        <v>1.5268067259837335</v>
      </c>
      <c r="J45" s="9"/>
      <c r="K45" s="13" t="str">
        <f t="shared" si="2"/>
        <v/>
      </c>
      <c r="L45" s="12" t="str">
        <f>'CCE Calculation'!F54</f>
        <v/>
      </c>
      <c r="M45" s="9"/>
      <c r="N45" s="13" t="str">
        <f t="shared" si="3"/>
        <v/>
      </c>
      <c r="O45" s="23"/>
    </row>
    <row r="46" spans="1:15" x14ac:dyDescent="0.25">
      <c r="A46" s="8">
        <f>'CCE Calculation'!A55</f>
        <v>40</v>
      </c>
      <c r="B46" s="19">
        <f>'CCE Calculation'!B55</f>
        <v>218.03460000000001</v>
      </c>
      <c r="C46" s="12">
        <f>'CCE Calculation'!D55</f>
        <v>3.8670289135</v>
      </c>
      <c r="D46" s="9"/>
      <c r="E46" s="13" t="str">
        <f t="shared" si="0"/>
        <v/>
      </c>
      <c r="F46" s="12" t="str">
        <f>'CCE Calculation'!E55</f>
        <v/>
      </c>
      <c r="G46" s="9"/>
      <c r="H46" s="13" t="str">
        <f t="shared" si="1"/>
        <v/>
      </c>
      <c r="I46" s="12">
        <f>'CCE Calculation'!G55</f>
        <v>1.5000450263429546</v>
      </c>
      <c r="J46" s="9"/>
      <c r="K46" s="13" t="str">
        <f t="shared" si="2"/>
        <v/>
      </c>
      <c r="L46" s="12" t="str">
        <f>'CCE Calculation'!F55</f>
        <v/>
      </c>
      <c r="M46" s="9"/>
      <c r="N46" s="13" t="str">
        <f t="shared" si="3"/>
        <v/>
      </c>
      <c r="O46" s="23"/>
    </row>
  </sheetData>
  <mergeCells count="1">
    <mergeCell ref="A1:O1"/>
  </mergeCells>
  <dataValidations count="1">
    <dataValidation type="list" sqref="B4" xr:uid="{00000000-0002-0000-0400-000000000000}">
      <formula1>"Black Oil,Volatile Oil"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5" x14ac:dyDescent="0.25"/>
  <sheetData>
    <row r="1" spans="1:11" x14ac:dyDescent="0.25">
      <c r="A1" s="47" t="s">
        <v>130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32" x14ac:dyDescent="0.25">
      <c r="A2" s="38" t="s">
        <v>131</v>
      </c>
    </row>
  </sheetData>
  <mergeCells count="1">
    <mergeCell ref="A1:K1"/>
  </mergeCells>
  <pageMargins left="0.75" right="0.75" top="1" bottom="1" header="0.5" footer="0.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8"/>
  <sheetViews>
    <sheetView view="pageBreakPreview" workbookViewId="0"/>
  </sheetViews>
  <sheetFormatPr defaultRowHeight="15" x14ac:dyDescent="0.25"/>
  <cols>
    <col min="1" max="1" width="22" customWidth="1"/>
    <col min="2" max="4" width="12" customWidth="1"/>
    <col min="5" max="5" width="13" customWidth="1"/>
    <col min="6" max="7" width="12" customWidth="1"/>
    <col min="8" max="8" width="3" customWidth="1"/>
    <col min="9" max="9" width="20" customWidth="1"/>
    <col min="10" max="13" width="14" customWidth="1"/>
  </cols>
  <sheetData>
    <row r="1" spans="1:13" x14ac:dyDescent="0.25">
      <c r="A1" s="47" t="s">
        <v>132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84" x14ac:dyDescent="0.25">
      <c r="A2" s="38" t="s">
        <v>133</v>
      </c>
    </row>
    <row r="4" spans="1:13" x14ac:dyDescent="0.25">
      <c r="A4" s="47" t="s">
        <v>134</v>
      </c>
      <c r="B4" s="48"/>
      <c r="C4" s="48"/>
      <c r="D4" s="48"/>
      <c r="E4" s="48"/>
      <c r="F4" s="48"/>
      <c r="G4" s="48"/>
      <c r="I4" s="47" t="s">
        <v>135</v>
      </c>
      <c r="J4" s="48"/>
      <c r="K4" s="48"/>
      <c r="L4" s="48"/>
      <c r="M4" s="48"/>
    </row>
    <row r="5" spans="1:13" ht="25.5" x14ac:dyDescent="0.25">
      <c r="A5" s="27" t="s">
        <v>136</v>
      </c>
      <c r="B5" s="36" t="str">
        <f>Summary!C4</f>
        <v>ADNOC Onshore</v>
      </c>
      <c r="I5" s="27" t="s">
        <v>115</v>
      </c>
      <c r="K5" s="35">
        <f>'QC Protocol'!C11</f>
        <v>0.99999344567933979</v>
      </c>
    </row>
    <row r="6" spans="1:13" x14ac:dyDescent="0.25">
      <c r="A6" s="27" t="s">
        <v>137</v>
      </c>
      <c r="B6" s="36" t="str">
        <f>Summary!C5</f>
        <v>SA 372 (Kharaib-2)</v>
      </c>
      <c r="I6" s="27" t="s">
        <v>138</v>
      </c>
      <c r="K6" s="35">
        <f>'QC Protocol'!C12</f>
        <v>1.1127469840958974E-2</v>
      </c>
    </row>
    <row r="7" spans="1:13" ht="25.5" x14ac:dyDescent="0.25">
      <c r="A7" s="27" t="s">
        <v>139</v>
      </c>
      <c r="B7" s="36" t="str">
        <f>Summary!C6</f>
        <v>#3, Chamber RF1168636</v>
      </c>
      <c r="I7" s="27" t="s">
        <v>116</v>
      </c>
      <c r="K7" s="35">
        <f>'QC Protocol'!C21</f>
        <v>0.99971813567027468</v>
      </c>
    </row>
    <row r="8" spans="1:13" x14ac:dyDescent="0.25">
      <c r="A8" s="27" t="s">
        <v>140</v>
      </c>
      <c r="B8" s="36" t="str">
        <f>Summary!C7</f>
        <v>9105.00 MD (ft.)</v>
      </c>
      <c r="I8" s="27" t="s">
        <v>141</v>
      </c>
      <c r="K8" s="35">
        <f>'QC Protocol'!C22</f>
        <v>0.47254691250104319</v>
      </c>
    </row>
    <row r="9" spans="1:13" x14ac:dyDescent="0.25">
      <c r="A9" s="27" t="s">
        <v>142</v>
      </c>
      <c r="B9" s="36" t="str">
        <f>Summary!C8</f>
        <v>256 °F</v>
      </c>
      <c r="I9" s="27" t="s">
        <v>117</v>
      </c>
      <c r="K9" s="39" t="str">
        <f>'QC Protocol'!C40</f>
        <v>ALL PASSED</v>
      </c>
    </row>
    <row r="10" spans="1:13" x14ac:dyDescent="0.25">
      <c r="I10" s="27" t="s">
        <v>6</v>
      </c>
      <c r="K10" s="39">
        <f>'CCE Calculation'!W5</f>
        <v>2</v>
      </c>
    </row>
    <row r="11" spans="1:13" x14ac:dyDescent="0.25">
      <c r="A11" s="27" t="s">
        <v>143</v>
      </c>
      <c r="B11" s="35">
        <f>'CCE Calculation'!J9</f>
        <v>1155.73</v>
      </c>
      <c r="I11" s="27" t="s">
        <v>120</v>
      </c>
      <c r="K11" s="35" t="str">
        <f>'PVTsim Compare'!B4</f>
        <v>Black Oil</v>
      </c>
    </row>
    <row r="12" spans="1:13" ht="25.5" x14ac:dyDescent="0.25">
      <c r="A12" s="27" t="s">
        <v>144</v>
      </c>
      <c r="B12" s="35">
        <f>'CCE Calculation'!J10</f>
        <v>0.68560210729580395</v>
      </c>
    </row>
    <row r="13" spans="1:13" x14ac:dyDescent="0.25">
      <c r="A13" s="27" t="s">
        <v>145</v>
      </c>
      <c r="B13" s="35">
        <f>'CCE Calculation'!D5</f>
        <v>3938.73</v>
      </c>
    </row>
    <row r="16" spans="1:13" x14ac:dyDescent="0.25">
      <c r="A16" s="47" t="s">
        <v>146</v>
      </c>
      <c r="B16" s="48"/>
      <c r="C16" s="48"/>
      <c r="D16" s="48"/>
      <c r="E16" s="48"/>
      <c r="F16" s="48"/>
      <c r="G16" s="48"/>
    </row>
    <row r="17" spans="1:7" ht="25.5" x14ac:dyDescent="0.25">
      <c r="A17" s="24" t="s">
        <v>30</v>
      </c>
      <c r="B17" s="24" t="s">
        <v>32</v>
      </c>
      <c r="C17" s="24" t="s">
        <v>33</v>
      </c>
      <c r="D17" s="24" t="s">
        <v>147</v>
      </c>
      <c r="E17" s="24" t="s">
        <v>35</v>
      </c>
      <c r="F17" s="24" t="s">
        <v>36</v>
      </c>
      <c r="G17" s="24" t="s">
        <v>40</v>
      </c>
    </row>
    <row r="18" spans="1:7" x14ac:dyDescent="0.25">
      <c r="A18" s="40">
        <f>'CCE Calculation'!B16</f>
        <v>7014.73</v>
      </c>
      <c r="B18" s="41">
        <f>'CCE Calculation'!D16</f>
        <v>0.94088229029999992</v>
      </c>
      <c r="C18" s="41">
        <f>'CCE Calculation'!E16</f>
        <v>0.72867999999999999</v>
      </c>
      <c r="D18" s="41">
        <f>'CCE Calculation'!F16</f>
        <v>7.6804854044954727</v>
      </c>
      <c r="E18" s="41" t="str">
        <f>'CCE Calculation'!G16</f>
        <v/>
      </c>
      <c r="F18" s="36" t="str">
        <f>'CCE Calculation'!H16</f>
        <v>Single Phase</v>
      </c>
      <c r="G18" s="36" t="str">
        <f>'CCE Calculation'!L16</f>
        <v>PASS</v>
      </c>
    </row>
    <row r="19" spans="1:7" x14ac:dyDescent="0.25">
      <c r="A19" s="40">
        <f>'CCE Calculation'!B17</f>
        <v>6525.9808000000003</v>
      </c>
      <c r="B19" s="41">
        <f>'CCE Calculation'!D17</f>
        <v>0.94441420350000005</v>
      </c>
      <c r="C19" s="41">
        <f>'CCE Calculation'!E17</f>
        <v>0.72595488796648944</v>
      </c>
      <c r="D19" s="41">
        <f>'CCE Calculation'!F17</f>
        <v>7.8223487254161288</v>
      </c>
      <c r="E19" s="41" t="str">
        <f>'CCE Calculation'!G17</f>
        <v/>
      </c>
      <c r="F19" s="36" t="str">
        <f>'CCE Calculation'!H17</f>
        <v>Single Phase</v>
      </c>
      <c r="G19" s="36" t="str">
        <f>'CCE Calculation'!L17</f>
        <v>PASS</v>
      </c>
    </row>
    <row r="20" spans="1:7" x14ac:dyDescent="0.25">
      <c r="A20" s="40">
        <f>'CCE Calculation'!B18</f>
        <v>6029.4922999999999</v>
      </c>
      <c r="B20" s="41">
        <f>'CCE Calculation'!D18</f>
        <v>0.94816077050000003</v>
      </c>
      <c r="C20" s="41">
        <f>'CCE Calculation'!E18</f>
        <v>0.72308634635269786</v>
      </c>
      <c r="D20" s="41">
        <f>'CCE Calculation'!F18</f>
        <v>8.1481553154984194</v>
      </c>
      <c r="E20" s="41" t="str">
        <f>'CCE Calculation'!G18</f>
        <v/>
      </c>
      <c r="F20" s="36" t="str">
        <f>'CCE Calculation'!H18</f>
        <v>Single Phase</v>
      </c>
      <c r="G20" s="36" t="str">
        <f>'CCE Calculation'!L18</f>
        <v>PASS</v>
      </c>
    </row>
    <row r="21" spans="1:7" x14ac:dyDescent="0.25">
      <c r="A21" s="40">
        <f>'CCE Calculation'!B19</f>
        <v>5531.1265999999996</v>
      </c>
      <c r="B21" s="41">
        <f>'CCE Calculation'!D19</f>
        <v>0.95210020949999996</v>
      </c>
      <c r="C21" s="41">
        <f>'CCE Calculation'!E19</f>
        <v>0.72009448213003879</v>
      </c>
      <c r="D21" s="41">
        <f>'CCE Calculation'!F19</f>
        <v>8.5164100809755734</v>
      </c>
      <c r="E21" s="41" t="str">
        <f>'CCE Calculation'!G19</f>
        <v/>
      </c>
      <c r="F21" s="36" t="str">
        <f>'CCE Calculation'!H19</f>
        <v>Single Phase</v>
      </c>
      <c r="G21" s="36" t="str">
        <f>'CCE Calculation'!L19</f>
        <v>PASS</v>
      </c>
    </row>
    <row r="22" spans="1:7" x14ac:dyDescent="0.25">
      <c r="A22" s="40">
        <f>'CCE Calculation'!B20</f>
        <v>5026.7011000000002</v>
      </c>
      <c r="B22" s="41">
        <f>'CCE Calculation'!D20</f>
        <v>0.95629187869999999</v>
      </c>
      <c r="C22" s="41">
        <f>'CCE Calculation'!E20</f>
        <v>0.71693812586573824</v>
      </c>
      <c r="D22" s="41">
        <f>'CCE Calculation'!F20</f>
        <v>8.9279778497590865</v>
      </c>
      <c r="E22" s="41" t="str">
        <f>'CCE Calculation'!G20</f>
        <v/>
      </c>
      <c r="F22" s="36" t="str">
        <f>'CCE Calculation'!H20</f>
        <v>Single Phase</v>
      </c>
      <c r="G22" s="36" t="str">
        <f>'CCE Calculation'!L20</f>
        <v>PASS</v>
      </c>
    </row>
    <row r="23" spans="1:7" x14ac:dyDescent="0.25">
      <c r="A23" s="40">
        <f>'CCE Calculation'!B21</f>
        <v>4527.7470000000003</v>
      </c>
      <c r="B23" s="41">
        <f>'CCE Calculation'!D21</f>
        <v>0.96066681639999996</v>
      </c>
      <c r="C23" s="41">
        <f>'CCE Calculation'!E21</f>
        <v>0.71367314410320448</v>
      </c>
      <c r="D23" s="41">
        <f>'CCE Calculation'!F21</f>
        <v>9.3980839084758578</v>
      </c>
      <c r="E23" s="41" t="str">
        <f>'CCE Calculation'!G21</f>
        <v/>
      </c>
      <c r="F23" s="36" t="str">
        <f>'CCE Calculation'!H21</f>
        <v>Single Phase</v>
      </c>
      <c r="G23" s="36" t="str">
        <f>'CCE Calculation'!L21</f>
        <v>PASS</v>
      </c>
    </row>
    <row r="24" spans="1:7" x14ac:dyDescent="0.25">
      <c r="A24" s="40">
        <f>'CCE Calculation'!B22</f>
        <v>4029.4571999999998</v>
      </c>
      <c r="B24" s="41">
        <f>'CCE Calculation'!D22</f>
        <v>0.96529542280000002</v>
      </c>
      <c r="C24" s="41">
        <f>'CCE Calculation'!E22</f>
        <v>0.71025107039987911</v>
      </c>
      <c r="D24" s="41">
        <f>'CCE Calculation'!F22</f>
        <v>9.6773324417836655</v>
      </c>
      <c r="E24" s="41" t="str">
        <f>'CCE Calculation'!G22</f>
        <v/>
      </c>
      <c r="F24" s="36" t="str">
        <f>'CCE Calculation'!H22</f>
        <v>Single Phase</v>
      </c>
      <c r="G24" s="36" t="str">
        <f>'CCE Calculation'!L22</f>
        <v>PASS</v>
      </c>
    </row>
    <row r="25" spans="1:7" x14ac:dyDescent="0.25">
      <c r="A25" s="40">
        <f>'CCE Calculation'!B23</f>
        <v>3938.73</v>
      </c>
      <c r="B25" s="41">
        <f>'CCE Calculation'!D23</f>
        <v>0.96616910970000003</v>
      </c>
      <c r="C25" s="41">
        <f>'CCE Calculation'!E23</f>
        <v>0.70960880493135048</v>
      </c>
      <c r="D25" s="41">
        <f>'CCE Calculation'!F23</f>
        <v>10.236258215289961</v>
      </c>
      <c r="E25" s="41" t="str">
        <f>'CCE Calculation'!G23</f>
        <v/>
      </c>
      <c r="F25" s="36" t="str">
        <f>'CCE Calculation'!H23</f>
        <v>Single Phase</v>
      </c>
      <c r="G25" s="36" t="str">
        <f>'CCE Calculation'!L23</f>
        <v>PASS</v>
      </c>
    </row>
    <row r="26" spans="1:7" x14ac:dyDescent="0.25">
      <c r="A26" s="40">
        <f>'CCE Calculation'!B24</f>
        <v>3532.4847</v>
      </c>
      <c r="B26" s="41">
        <f>'CCE Calculation'!D24</f>
        <v>0.97021045920000004</v>
      </c>
      <c r="C26" s="41">
        <f>'CCE Calculation'!E24</f>
        <v>0.70665297492373591</v>
      </c>
      <c r="D26" s="41">
        <f>'CCE Calculation'!F24</f>
        <v>10.62310251989024</v>
      </c>
      <c r="E26" s="41" t="str">
        <f>'CCE Calculation'!G24</f>
        <v/>
      </c>
      <c r="F26" s="36" t="str">
        <f>'CCE Calculation'!H24</f>
        <v>Single Phase</v>
      </c>
      <c r="G26" s="36" t="str">
        <f>'CCE Calculation'!L24</f>
        <v>PASS</v>
      </c>
    </row>
    <row r="27" spans="1:7" x14ac:dyDescent="0.25">
      <c r="A27" s="40">
        <f>'CCE Calculation'!B25</f>
        <v>3031.1977000000002</v>
      </c>
      <c r="B27" s="41">
        <f>'CCE Calculation'!D25</f>
        <v>0.9755227231000001</v>
      </c>
      <c r="C27" s="41">
        <f>'CCE Calculation'!E25</f>
        <v>0.70280485637188317</v>
      </c>
      <c r="D27" s="41">
        <f>'CCE Calculation'!F25</f>
        <v>11.298114119058045</v>
      </c>
      <c r="E27" s="41" t="str">
        <f>'CCE Calculation'!G25</f>
        <v/>
      </c>
      <c r="F27" s="36" t="str">
        <f>'CCE Calculation'!H25</f>
        <v>Single Phase</v>
      </c>
      <c r="G27" s="36" t="str">
        <f>'CCE Calculation'!L25</f>
        <v>PASS</v>
      </c>
    </row>
    <row r="28" spans="1:7" x14ac:dyDescent="0.25">
      <c r="A28" s="40">
        <f>'CCE Calculation'!B26</f>
        <v>2529.5335</v>
      </c>
      <c r="B28" s="41">
        <f>'CCE Calculation'!D26</f>
        <v>0.98126455309999994</v>
      </c>
      <c r="C28" s="41">
        <f>'CCE Calculation'!E26</f>
        <v>0.69869242206890836</v>
      </c>
      <c r="D28" s="41">
        <f>'CCE Calculation'!F26</f>
        <v>12.186544319789581</v>
      </c>
      <c r="E28" s="41" t="str">
        <f>'CCE Calculation'!G26</f>
        <v/>
      </c>
      <c r="F28" s="36" t="str">
        <f>'CCE Calculation'!H26</f>
        <v>Single Phase</v>
      </c>
      <c r="G28" s="36" t="str">
        <f>'CCE Calculation'!L26</f>
        <v>PASS</v>
      </c>
    </row>
    <row r="29" spans="1:7" x14ac:dyDescent="0.25">
      <c r="A29" s="40">
        <f>'CCE Calculation'!B27</f>
        <v>2031.2057</v>
      </c>
      <c r="B29" s="41">
        <f>'CCE Calculation'!D27</f>
        <v>0.98748085139999997</v>
      </c>
      <c r="C29" s="41">
        <f>'CCE Calculation'!E27</f>
        <v>0.69429407803077114</v>
      </c>
      <c r="D29" s="41">
        <f>'CCE Calculation'!F27</f>
        <v>13.279018720195429</v>
      </c>
      <c r="E29" s="41" t="str">
        <f>'CCE Calculation'!G27</f>
        <v/>
      </c>
      <c r="F29" s="36" t="str">
        <f>'CCE Calculation'!H27</f>
        <v>Single Phase</v>
      </c>
      <c r="G29" s="36" t="str">
        <f>'CCE Calculation'!L27</f>
        <v>PASS</v>
      </c>
    </row>
    <row r="30" spans="1:7" x14ac:dyDescent="0.25">
      <c r="A30" s="40">
        <f>'CCE Calculation'!B28</f>
        <v>1528.4730999999999</v>
      </c>
      <c r="B30" s="41">
        <f>'CCE Calculation'!D28</f>
        <v>0.99439123460000001</v>
      </c>
      <c r="C30" s="41">
        <f>'CCE Calculation'!E28</f>
        <v>0.68946917816667153</v>
      </c>
      <c r="D30" s="41">
        <f>'CCE Calculation'!F28</f>
        <v>14.172775770578308</v>
      </c>
      <c r="E30" s="41" t="str">
        <f>'CCE Calculation'!G28</f>
        <v/>
      </c>
      <c r="F30" s="36" t="str">
        <f>'CCE Calculation'!H28</f>
        <v>Single Phase</v>
      </c>
      <c r="G30" s="36" t="str">
        <f>'CCE Calculation'!L28</f>
        <v>PASS</v>
      </c>
    </row>
    <row r="31" spans="1:7" x14ac:dyDescent="0.25">
      <c r="A31" s="40">
        <f>'CCE Calculation'!B29</f>
        <v>1295.0730000000001</v>
      </c>
      <c r="B31" s="41">
        <f>'CCE Calculation'!D29</f>
        <v>0.99785537860000006</v>
      </c>
      <c r="C31" s="41">
        <f>'CCE Calculation'!E29</f>
        <v>0.68707562438327463</v>
      </c>
      <c r="D31" s="41">
        <f>'CCE Calculation'!F29</f>
        <v>14.944624483881903</v>
      </c>
      <c r="E31" s="41" t="str">
        <f>'CCE Calculation'!G29</f>
        <v/>
      </c>
      <c r="F31" s="36" t="str">
        <f>'CCE Calculation'!H29</f>
        <v>Single Phase</v>
      </c>
      <c r="G31" s="36" t="str">
        <f>'CCE Calculation'!L29</f>
        <v>PASS</v>
      </c>
    </row>
    <row r="32" spans="1:7" x14ac:dyDescent="0.25">
      <c r="A32" s="40">
        <f>'CCE Calculation'!B30</f>
        <v>1249.8194000000001</v>
      </c>
      <c r="B32" s="41">
        <f>'CCE Calculation'!D30</f>
        <v>0.99854667850000001</v>
      </c>
      <c r="C32" s="41">
        <f>'CCE Calculation'!E30</f>
        <v>0.68659995777633931</v>
      </c>
      <c r="D32" s="41">
        <f>'CCE Calculation'!F30</f>
        <v>15.328290438628578</v>
      </c>
      <c r="E32" s="41" t="str">
        <f>'CCE Calculation'!G30</f>
        <v/>
      </c>
      <c r="F32" s="36" t="str">
        <f>'CCE Calculation'!H30</f>
        <v>Single Phase</v>
      </c>
      <c r="G32" s="36" t="str">
        <f>'CCE Calculation'!L30</f>
        <v>PASS</v>
      </c>
    </row>
    <row r="33" spans="1:13" x14ac:dyDescent="0.25">
      <c r="A33" s="40">
        <f>'CCE Calculation'!B31</f>
        <v>1229.3027</v>
      </c>
      <c r="B33" s="41">
        <f>'CCE Calculation'!D31</f>
        <v>0.99886205970000008</v>
      </c>
      <c r="C33" s="41">
        <f>'CCE Calculation'!E31</f>
        <v>0.68638317036660579</v>
      </c>
      <c r="D33" s="41">
        <f>'CCE Calculation'!F31</f>
        <v>15.415463045523387</v>
      </c>
      <c r="E33" s="41" t="str">
        <f>'CCE Calculation'!G31</f>
        <v/>
      </c>
      <c r="F33" s="36" t="str">
        <f>'CCE Calculation'!H31</f>
        <v>Single Phase</v>
      </c>
      <c r="G33" s="36" t="str">
        <f>'CCE Calculation'!L31</f>
        <v>PASS</v>
      </c>
    </row>
    <row r="34" spans="1:13" x14ac:dyDescent="0.25">
      <c r="A34" s="40">
        <f>'CCE Calculation'!B32</f>
        <v>1209.9315999999999</v>
      </c>
      <c r="B34" s="41">
        <f>'CCE Calculation'!D32</f>
        <v>0.99916086770000012</v>
      </c>
      <c r="C34" s="41">
        <f>'CCE Calculation'!E32</f>
        <v>0.68617790133636136</v>
      </c>
      <c r="D34" s="41">
        <f>'CCE Calculation'!F32</f>
        <v>15.461318054693082</v>
      </c>
      <c r="E34" s="41" t="str">
        <f>'CCE Calculation'!G32</f>
        <v/>
      </c>
      <c r="F34" s="36" t="str">
        <f>'CCE Calculation'!H32</f>
        <v>Single Phase</v>
      </c>
      <c r="G34" s="36" t="str">
        <f>'CCE Calculation'!L32</f>
        <v>PASS</v>
      </c>
    </row>
    <row r="35" spans="1:13" x14ac:dyDescent="0.25">
      <c r="A35" s="40">
        <f>'CCE Calculation'!B33</f>
        <v>1190.4659999999999</v>
      </c>
      <c r="B35" s="41">
        <f>'CCE Calculation'!D33</f>
        <v>0.99946202240000004</v>
      </c>
      <c r="C35" s="41">
        <f>'CCE Calculation'!E33</f>
        <v>0.68597114440574047</v>
      </c>
      <c r="D35" s="41">
        <f>'CCE Calculation'!F33</f>
        <v>15.492725853315763</v>
      </c>
      <c r="E35" s="41" t="str">
        <f>'CCE Calculation'!G33</f>
        <v/>
      </c>
      <c r="F35" s="36" t="str">
        <f>'CCE Calculation'!H33</f>
        <v>Single Phase</v>
      </c>
      <c r="G35" s="36" t="str">
        <f>'CCE Calculation'!L33</f>
        <v>PASS</v>
      </c>
    </row>
    <row r="36" spans="1:13" x14ac:dyDescent="0.25">
      <c r="A36" s="40">
        <f>'CCE Calculation'!B34</f>
        <v>1174.8298</v>
      </c>
      <c r="B36" s="41">
        <f>'CCE Calculation'!D34</f>
        <v>0.99970439769999997</v>
      </c>
      <c r="C36" s="41">
        <f>'CCE Calculation'!E34</f>
        <v>0.68580483278172533</v>
      </c>
      <c r="D36" s="41">
        <f>'CCE Calculation'!F34</f>
        <v>15.492188923267747</v>
      </c>
      <c r="E36" s="41" t="str">
        <f>'CCE Calculation'!G34</f>
        <v/>
      </c>
      <c r="F36" s="36" t="str">
        <f>'CCE Calculation'!H34</f>
        <v>Single Phase</v>
      </c>
      <c r="G36" s="36" t="str">
        <f>'CCE Calculation'!L34</f>
        <v>PASS</v>
      </c>
    </row>
    <row r="37" spans="1:13" x14ac:dyDescent="0.25">
      <c r="A37" s="40">
        <f>'CCE Calculation'!B35</f>
        <v>1155.73</v>
      </c>
      <c r="B37" s="41">
        <f>'CCE Calculation'!D35</f>
        <v>1</v>
      </c>
      <c r="C37" s="41">
        <f>'CCE Calculation'!E35</f>
        <v>0.68560210729580395</v>
      </c>
      <c r="D37" s="41">
        <f>'CCE Calculation'!F35</f>
        <v>85.166679743004252</v>
      </c>
      <c r="E37" s="41" t="str">
        <f>'CCE Calculation'!G35</f>
        <v/>
      </c>
      <c r="F37" s="36" t="str">
        <f>'CCE Calculation'!H35</f>
        <v>Bubble Point</v>
      </c>
      <c r="G37" s="36" t="str">
        <f>'CCE Calculation'!L35</f>
        <v>PASS</v>
      </c>
    </row>
    <row r="41" spans="1:13" x14ac:dyDescent="0.25">
      <c r="A41" s="47" t="s">
        <v>148</v>
      </c>
      <c r="B41" s="48"/>
      <c r="C41" s="48"/>
      <c r="D41" s="48"/>
      <c r="E41" s="48"/>
      <c r="F41" s="48"/>
      <c r="G41" s="48"/>
      <c r="I41" s="47" t="s">
        <v>149</v>
      </c>
      <c r="J41" s="48"/>
      <c r="K41" s="48"/>
      <c r="L41" s="48"/>
      <c r="M41" s="48"/>
    </row>
    <row r="42" spans="1:13" ht="25.5" x14ac:dyDescent="0.25">
      <c r="A42" s="24" t="s">
        <v>30</v>
      </c>
      <c r="B42" s="24" t="s">
        <v>32</v>
      </c>
      <c r="C42" s="24" t="s">
        <v>33</v>
      </c>
      <c r="D42" s="24" t="s">
        <v>147</v>
      </c>
      <c r="E42" s="24" t="s">
        <v>35</v>
      </c>
      <c r="F42" s="24" t="s">
        <v>36</v>
      </c>
      <c r="G42" s="24" t="s">
        <v>40</v>
      </c>
      <c r="I42" s="27" t="s">
        <v>93</v>
      </c>
      <c r="K42" s="32">
        <f>'Mean Compressibility'!D4</f>
        <v>7.988732593178792</v>
      </c>
    </row>
    <row r="43" spans="1:13" x14ac:dyDescent="0.25">
      <c r="A43" s="40">
        <f>'CCE Calculation'!B36</f>
        <v>1151.8876</v>
      </c>
      <c r="B43" s="41">
        <f>'CCE Calculation'!D36</f>
        <v>1.0016583086999999</v>
      </c>
      <c r="C43" s="41" t="str">
        <f>'CCE Calculation'!E36</f>
        <v/>
      </c>
      <c r="D43" s="41" t="str">
        <f>'CCE Calculation'!F36</f>
        <v/>
      </c>
      <c r="E43" s="41">
        <f>'CCE Calculation'!G36</f>
        <v>2.0115326737256582</v>
      </c>
      <c r="F43" s="36" t="str">
        <f>'CCE Calculation'!H36</f>
        <v>Two Phase</v>
      </c>
      <c r="G43" s="36" t="str">
        <f>'CCE Calculation'!L36</f>
        <v>PASS</v>
      </c>
      <c r="I43" s="27" t="s">
        <v>95</v>
      </c>
      <c r="K43" s="32">
        <f>'Mean Compressibility'!D5</f>
        <v>9.2114780635459574</v>
      </c>
    </row>
    <row r="44" spans="1:13" x14ac:dyDescent="0.25">
      <c r="A44" s="40">
        <f>'CCE Calculation'!B37</f>
        <v>1151.5455999999999</v>
      </c>
      <c r="B44" s="41">
        <f>'CCE Calculation'!D37</f>
        <v>1.0018065658999999</v>
      </c>
      <c r="C44" s="41" t="str">
        <f>'CCE Calculation'!E37</f>
        <v/>
      </c>
      <c r="D44" s="41" t="str">
        <f>'CCE Calculation'!F37</f>
        <v/>
      </c>
      <c r="E44" s="41">
        <f>'CCE Calculation'!G37</f>
        <v>2.01139906897038</v>
      </c>
      <c r="F44" s="36" t="str">
        <f>'CCE Calculation'!H37</f>
        <v>Two Phase</v>
      </c>
      <c r="G44" s="36" t="str">
        <f>'CCE Calculation'!L37</f>
        <v>PASS</v>
      </c>
      <c r="I44" s="27" t="s">
        <v>97</v>
      </c>
      <c r="K44" s="32">
        <f>'Mean Compressibility'!D6</f>
        <v>11.437526341927795</v>
      </c>
    </row>
    <row r="45" spans="1:13" x14ac:dyDescent="0.25">
      <c r="A45" s="40">
        <f>'CCE Calculation'!B38</f>
        <v>1150.7910999999999</v>
      </c>
      <c r="B45" s="41">
        <f>'CCE Calculation'!D38</f>
        <v>1.0021340235</v>
      </c>
      <c r="C45" s="41" t="str">
        <f>'CCE Calculation'!E38</f>
        <v/>
      </c>
      <c r="D45" s="41" t="str">
        <f>'CCE Calculation'!F38</f>
        <v/>
      </c>
      <c r="E45" s="41">
        <f>'CCE Calculation'!G38</f>
        <v>2.0111040510915226</v>
      </c>
      <c r="F45" s="36" t="str">
        <f>'CCE Calculation'!H38</f>
        <v>Two Phase</v>
      </c>
      <c r="G45" s="36" t="str">
        <f>'CCE Calculation'!L38</f>
        <v>PASS</v>
      </c>
      <c r="I45" s="27" t="s">
        <v>98</v>
      </c>
      <c r="K45" s="32">
        <f>'Mean Compressibility'!D7</f>
        <v>14.389898839387586</v>
      </c>
    </row>
    <row r="46" spans="1:13" x14ac:dyDescent="0.25">
      <c r="A46" s="40">
        <f>'CCE Calculation'!B39</f>
        <v>1148.6789000000001</v>
      </c>
      <c r="B46" s="41">
        <f>'CCE Calculation'!D39</f>
        <v>1.0030535297000001</v>
      </c>
      <c r="C46" s="41" t="str">
        <f>'CCE Calculation'!E39</f>
        <v/>
      </c>
      <c r="D46" s="41" t="str">
        <f>'CCE Calculation'!F39</f>
        <v/>
      </c>
      <c r="E46" s="41">
        <f>'CCE Calculation'!G39</f>
        <v>2.0102778240400117</v>
      </c>
      <c r="F46" s="36" t="str">
        <f>'CCE Calculation'!H39</f>
        <v>Two Phase</v>
      </c>
      <c r="G46" s="36" t="str">
        <f>'CCE Calculation'!L39</f>
        <v>PASS</v>
      </c>
      <c r="I46" s="27" t="s">
        <v>150</v>
      </c>
      <c r="K46" s="32">
        <f>'Mean Compressibility'!D9</f>
        <v>12.365433539344826</v>
      </c>
    </row>
    <row r="47" spans="1:13" x14ac:dyDescent="0.25">
      <c r="A47" s="40">
        <f>'CCE Calculation'!B40</f>
        <v>1147.4115999999999</v>
      </c>
      <c r="B47" s="41">
        <f>'CCE Calculation'!D40</f>
        <v>1.0036072119999999</v>
      </c>
      <c r="C47" s="41" t="str">
        <f>'CCE Calculation'!E40</f>
        <v/>
      </c>
      <c r="D47" s="41" t="str">
        <f>'CCE Calculation'!F40</f>
        <v/>
      </c>
      <c r="E47" s="41">
        <f>'CCE Calculation'!G40</f>
        <v>2.0097817435972019</v>
      </c>
      <c r="F47" s="36" t="str">
        <f>'CCE Calculation'!H40</f>
        <v>Two Phase</v>
      </c>
      <c r="G47" s="36" t="str">
        <f>'CCE Calculation'!L40</f>
        <v>PASS</v>
      </c>
    </row>
    <row r="48" spans="1:13" x14ac:dyDescent="0.25">
      <c r="A48" s="40">
        <f>'CCE Calculation'!B41</f>
        <v>1142.4438</v>
      </c>
      <c r="B48" s="41">
        <f>'CCE Calculation'!D41</f>
        <v>1.0057921268000001</v>
      </c>
      <c r="C48" s="41" t="str">
        <f>'CCE Calculation'!E41</f>
        <v/>
      </c>
      <c r="D48" s="41" t="str">
        <f>'CCE Calculation'!F41</f>
        <v/>
      </c>
      <c r="E48" s="41">
        <f>'CCE Calculation'!G41</f>
        <v>2.0078343496977471</v>
      </c>
      <c r="F48" s="36" t="str">
        <f>'CCE Calculation'!H41</f>
        <v>Two Phase</v>
      </c>
      <c r="G48" s="36" t="str">
        <f>'CCE Calculation'!L41</f>
        <v>PASS</v>
      </c>
      <c r="I48" s="27" t="s">
        <v>96</v>
      </c>
      <c r="K48" s="42">
        <f>'Mean Compressibility'!H5</f>
        <v>12.250639621082708</v>
      </c>
    </row>
    <row r="49" spans="1:11" ht="25.5" x14ac:dyDescent="0.25">
      <c r="A49" s="40">
        <f>'CCE Calculation'!B42</f>
        <v>1138.6956</v>
      </c>
      <c r="B49" s="41">
        <f>'CCE Calculation'!D42</f>
        <v>1.0074560678</v>
      </c>
      <c r="C49" s="41" t="str">
        <f>'CCE Calculation'!E42</f>
        <v/>
      </c>
      <c r="D49" s="41" t="str">
        <f>'CCE Calculation'!F42</f>
        <v/>
      </c>
      <c r="E49" s="41">
        <f>'CCE Calculation'!G42</f>
        <v>2.0063622599158757</v>
      </c>
      <c r="F49" s="36" t="str">
        <f>'CCE Calculation'!H42</f>
        <v>Two Phase</v>
      </c>
      <c r="G49" s="36" t="str">
        <f>'CCE Calculation'!L42</f>
        <v>PASS</v>
      </c>
      <c r="I49" s="27" t="s">
        <v>151</v>
      </c>
      <c r="K49" s="42">
        <f>'Mean Compressibility'!H8</f>
        <v>-12.365433539344826</v>
      </c>
    </row>
    <row r="50" spans="1:11" x14ac:dyDescent="0.25">
      <c r="A50" s="40">
        <f>'CCE Calculation'!B43</f>
        <v>1127.7299</v>
      </c>
      <c r="B50" s="41">
        <f>'CCE Calculation'!D43</f>
        <v>1.0124017057999999</v>
      </c>
      <c r="C50" s="41" t="str">
        <f>'CCE Calculation'!E43</f>
        <v/>
      </c>
      <c r="D50" s="41" t="str">
        <f>'CCE Calculation'!F43</f>
        <v/>
      </c>
      <c r="E50" s="41">
        <f>'CCE Calculation'!G43</f>
        <v>2.0020414398067468</v>
      </c>
      <c r="F50" s="36" t="str">
        <f>'CCE Calculation'!H43</f>
        <v>Two Phase</v>
      </c>
      <c r="G50" s="36" t="str">
        <f>'CCE Calculation'!L43</f>
        <v>PASS</v>
      </c>
    </row>
    <row r="51" spans="1:11" ht="25.5" x14ac:dyDescent="0.25">
      <c r="A51" s="40">
        <f>'CCE Calculation'!B44</f>
        <v>1107.0789</v>
      </c>
      <c r="B51" s="41">
        <f>'CCE Calculation'!D44</f>
        <v>1.0220405460999999</v>
      </c>
      <c r="C51" s="41" t="str">
        <f>'CCE Calculation'!E44</f>
        <v/>
      </c>
      <c r="D51" s="41" t="str">
        <f>'CCE Calculation'!F44</f>
        <v/>
      </c>
      <c r="E51" s="41">
        <f>'CCE Calculation'!G44</f>
        <v>1.9938465890685613</v>
      </c>
      <c r="F51" s="36" t="str">
        <f>'CCE Calculation'!H44</f>
        <v>Two Phase</v>
      </c>
      <c r="G51" s="36" t="str">
        <f>'CCE Calculation'!L44</f>
        <v>PASS</v>
      </c>
      <c r="I51" s="27" t="s">
        <v>152</v>
      </c>
      <c r="K51" s="32">
        <f>'CCE Calculation'!D8</f>
        <v>0.72867999999999999</v>
      </c>
    </row>
    <row r="52" spans="1:11" x14ac:dyDescent="0.25">
      <c r="A52" s="40">
        <f>'CCE Calculation'!B45</f>
        <v>1066.4922999999999</v>
      </c>
      <c r="B52" s="41">
        <f>'CCE Calculation'!D45</f>
        <v>1.0423127391</v>
      </c>
      <c r="C52" s="41" t="str">
        <f>'CCE Calculation'!E45</f>
        <v/>
      </c>
      <c r="D52" s="41" t="str">
        <f>'CCE Calculation'!F45</f>
        <v/>
      </c>
      <c r="E52" s="41">
        <f>'CCE Calculation'!G45</f>
        <v>1.9775137137779255</v>
      </c>
      <c r="F52" s="36" t="str">
        <f>'CCE Calculation'!H45</f>
        <v>Two Phase</v>
      </c>
      <c r="G52" s="36" t="str">
        <f>'CCE Calculation'!L45</f>
        <v>PASS</v>
      </c>
      <c r="I52" s="27" t="s">
        <v>153</v>
      </c>
      <c r="K52" s="32">
        <f>'CCE Calculation'!J10</f>
        <v>0.68560210729580395</v>
      </c>
    </row>
    <row r="53" spans="1:11" x14ac:dyDescent="0.25">
      <c r="A53" s="40">
        <f>'CCE Calculation'!B46</f>
        <v>996.22199999999998</v>
      </c>
      <c r="B53" s="41">
        <f>'CCE Calculation'!D46</f>
        <v>1.0821733195999999</v>
      </c>
      <c r="C53" s="41" t="str">
        <f>'CCE Calculation'!E46</f>
        <v/>
      </c>
      <c r="D53" s="41" t="str">
        <f>'CCE Calculation'!F46</f>
        <v/>
      </c>
      <c r="E53" s="41">
        <f>'CCE Calculation'!G46</f>
        <v>1.9484780137930287</v>
      </c>
      <c r="F53" s="36" t="str">
        <f>'CCE Calculation'!H46</f>
        <v>Two Phase</v>
      </c>
      <c r="G53" s="36" t="str">
        <f>'CCE Calculation'!L46</f>
        <v>PASS</v>
      </c>
    </row>
    <row r="54" spans="1:11" x14ac:dyDescent="0.25">
      <c r="A54" s="40">
        <f>'CCE Calculation'!B47</f>
        <v>883.04759999999999</v>
      </c>
      <c r="B54" s="41">
        <f>'CCE Calculation'!D47</f>
        <v>1.1625714743</v>
      </c>
      <c r="C54" s="41" t="str">
        <f>'CCE Calculation'!E47</f>
        <v/>
      </c>
      <c r="D54" s="41" t="str">
        <f>'CCE Calculation'!F47</f>
        <v/>
      </c>
      <c r="E54" s="41">
        <f>'CCE Calculation'!G47</f>
        <v>1.8994534250558652</v>
      </c>
      <c r="F54" s="36" t="str">
        <f>'CCE Calculation'!H47</f>
        <v>Two Phase</v>
      </c>
      <c r="G54" s="36" t="str">
        <f>'CCE Calculation'!L47</f>
        <v>PASS</v>
      </c>
    </row>
    <row r="55" spans="1:11" x14ac:dyDescent="0.25">
      <c r="A55" s="40">
        <f>'CCE Calculation'!B48</f>
        <v>726.87980000000005</v>
      </c>
      <c r="B55" s="41">
        <f>'CCE Calculation'!D48</f>
        <v>1.3230581577999998</v>
      </c>
      <c r="C55" s="41" t="str">
        <f>'CCE Calculation'!E48</f>
        <v/>
      </c>
      <c r="D55" s="41" t="str">
        <f>'CCE Calculation'!F48</f>
        <v/>
      </c>
      <c r="E55" s="41">
        <f>'CCE Calculation'!G48</f>
        <v>1.8262587289730097</v>
      </c>
      <c r="F55" s="36" t="str">
        <f>'CCE Calculation'!H48</f>
        <v>Two Phase</v>
      </c>
      <c r="G55" s="36" t="str">
        <f>'CCE Calculation'!L48</f>
        <v>PASS</v>
      </c>
    </row>
    <row r="56" spans="1:11" x14ac:dyDescent="0.25">
      <c r="A56" s="40">
        <f>'CCE Calculation'!B49</f>
        <v>581.85440000000006</v>
      </c>
      <c r="B56" s="41">
        <f>'CCE Calculation'!D49</f>
        <v>1.5633538735999999</v>
      </c>
      <c r="C56" s="41" t="str">
        <f>'CCE Calculation'!E49</f>
        <v/>
      </c>
      <c r="D56" s="41" t="str">
        <f>'CCE Calculation'!F49</f>
        <v/>
      </c>
      <c r="E56" s="41">
        <f>'CCE Calculation'!G49</f>
        <v>1.7507420066422137</v>
      </c>
      <c r="F56" s="36" t="str">
        <f>'CCE Calculation'!H49</f>
        <v>Two Phase</v>
      </c>
      <c r="G56" s="36" t="str">
        <f>'CCE Calculation'!L49</f>
        <v>PASS</v>
      </c>
    </row>
    <row r="57" spans="1:11" x14ac:dyDescent="0.25">
      <c r="A57" s="40">
        <f>'CCE Calculation'!B50</f>
        <v>464.68110000000001</v>
      </c>
      <c r="B57" s="41">
        <f>'CCE Calculation'!D50</f>
        <v>1.8839575353</v>
      </c>
      <c r="C57" s="41" t="str">
        <f>'CCE Calculation'!E50</f>
        <v/>
      </c>
      <c r="D57" s="41" t="str">
        <f>'CCE Calculation'!F50</f>
        <v/>
      </c>
      <c r="E57" s="41">
        <f>'CCE Calculation'!G50</f>
        <v>1.6823733063921877</v>
      </c>
      <c r="F57" s="36" t="str">
        <f>'CCE Calculation'!H50</f>
        <v>Two Phase</v>
      </c>
      <c r="G57" s="36" t="str">
        <f>'CCE Calculation'!L50</f>
        <v>PASS</v>
      </c>
    </row>
    <row r="58" spans="1:11" x14ac:dyDescent="0.25">
      <c r="A58" s="40">
        <f>'CCE Calculation'!B51</f>
        <v>389.48180000000002</v>
      </c>
      <c r="B58" s="41">
        <f>'CCE Calculation'!D51</f>
        <v>2.2042188615000002</v>
      </c>
      <c r="C58" s="41" t="str">
        <f>'CCE Calculation'!E51</f>
        <v/>
      </c>
      <c r="D58" s="41" t="str">
        <f>'CCE Calculation'!F51</f>
        <v/>
      </c>
      <c r="E58" s="41">
        <f>'CCE Calculation'!G51</f>
        <v>1.6337171709742262</v>
      </c>
      <c r="F58" s="36" t="str">
        <f>'CCE Calculation'!H51</f>
        <v>Two Phase</v>
      </c>
      <c r="G58" s="36" t="str">
        <f>'CCE Calculation'!L51</f>
        <v>PASS</v>
      </c>
    </row>
    <row r="59" spans="1:11" x14ac:dyDescent="0.25">
      <c r="A59" s="40">
        <f>'CCE Calculation'!B52</f>
        <v>325.73079999999999</v>
      </c>
      <c r="B59" s="41">
        <f>'CCE Calculation'!D52</f>
        <v>2.6040870006999999</v>
      </c>
      <c r="C59" s="41" t="str">
        <f>'CCE Calculation'!E52</f>
        <v/>
      </c>
      <c r="D59" s="41" t="str">
        <f>'CCE Calculation'!F52</f>
        <v/>
      </c>
      <c r="E59" s="41">
        <f>'CCE Calculation'!G52</f>
        <v>1.5885135674900581</v>
      </c>
      <c r="F59" s="36" t="str">
        <f>'CCE Calculation'!H52</f>
        <v>Two Phase</v>
      </c>
      <c r="G59" s="36" t="str">
        <f>'CCE Calculation'!L52</f>
        <v>PASS</v>
      </c>
    </row>
    <row r="60" spans="1:11" x14ac:dyDescent="0.25">
      <c r="A60" s="40">
        <f>'CCE Calculation'!B53</f>
        <v>281.23540000000003</v>
      </c>
      <c r="B60" s="41">
        <f>'CCE Calculation'!D53</f>
        <v>3.0007323351999999</v>
      </c>
      <c r="C60" s="41" t="str">
        <f>'CCE Calculation'!E53</f>
        <v/>
      </c>
      <c r="D60" s="41" t="str">
        <f>'CCE Calculation'!F53</f>
        <v/>
      </c>
      <c r="E60" s="41">
        <f>'CCE Calculation'!G53</f>
        <v>1.5541686886133397</v>
      </c>
      <c r="F60" s="36" t="str">
        <f>'CCE Calculation'!H53</f>
        <v>Two Phase</v>
      </c>
      <c r="G60" s="36" t="str">
        <f>'CCE Calculation'!L53</f>
        <v>PASS</v>
      </c>
    </row>
    <row r="61" spans="1:11" x14ac:dyDescent="0.25">
      <c r="A61" s="40">
        <f>'CCE Calculation'!B54</f>
        <v>248.22559999999999</v>
      </c>
      <c r="B61" s="41">
        <f>'CCE Calculation'!D54</f>
        <v>3.3945179985</v>
      </c>
      <c r="C61" s="41" t="str">
        <f>'CCE Calculation'!E54</f>
        <v/>
      </c>
      <c r="D61" s="41" t="str">
        <f>'CCE Calculation'!F54</f>
        <v/>
      </c>
      <c r="E61" s="41">
        <f>'CCE Calculation'!G54</f>
        <v>1.5268067259837335</v>
      </c>
      <c r="F61" s="36" t="str">
        <f>'CCE Calculation'!H54</f>
        <v>Two Phase</v>
      </c>
      <c r="G61" s="36" t="str">
        <f>'CCE Calculation'!L54</f>
        <v>PASS</v>
      </c>
    </row>
    <row r="62" spans="1:11" x14ac:dyDescent="0.25">
      <c r="A62" s="40">
        <f>'CCE Calculation'!B55</f>
        <v>218.03460000000001</v>
      </c>
      <c r="B62" s="41">
        <f>'CCE Calculation'!D55</f>
        <v>3.8670289135</v>
      </c>
      <c r="C62" s="41" t="str">
        <f>'CCE Calculation'!E55</f>
        <v/>
      </c>
      <c r="D62" s="41" t="str">
        <f>'CCE Calculation'!F55</f>
        <v/>
      </c>
      <c r="E62" s="41">
        <f>'CCE Calculation'!G55</f>
        <v>1.5000450263429546</v>
      </c>
      <c r="F62" s="36" t="str">
        <f>'CCE Calculation'!H55</f>
        <v>Two Phase</v>
      </c>
      <c r="G62" s="36" t="str">
        <f>'CCE Calculation'!L55</f>
        <v>PASS</v>
      </c>
    </row>
    <row r="66" spans="1:13" x14ac:dyDescent="0.25">
      <c r="A66" s="47" t="s">
        <v>154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116" spans="1:13" x14ac:dyDescent="0.25">
      <c r="A116" s="27" t="s">
        <v>84</v>
      </c>
      <c r="B116" s="56" t="s">
        <v>155</v>
      </c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</row>
    <row r="117" spans="1:13" x14ac:dyDescent="0.25"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</row>
    <row r="118" spans="1:13" x14ac:dyDescent="0.25"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</row>
  </sheetData>
  <mergeCells count="8">
    <mergeCell ref="I4:M4"/>
    <mergeCell ref="A66:M66"/>
    <mergeCell ref="A1:M1"/>
    <mergeCell ref="A4:G4"/>
    <mergeCell ref="B116:M118"/>
    <mergeCell ref="I41:M41"/>
    <mergeCell ref="A16:G16"/>
    <mergeCell ref="A41:G41"/>
  </mergeCells>
  <pageMargins left="0.75" right="0.75" top="1" bottom="1" header="0.5" footer="0.5"/>
  <pageSetup paperSize="9" fitToHeight="3" orientation="portrait" r:id="rId1"/>
  <rowBreaks count="2" manualBreakCount="2">
    <brk id="40" max="16383" man="1"/>
    <brk id="65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cols>
    <col min="1" max="1" width="24" customWidth="1"/>
    <col min="2" max="2" width="90" customWidth="1"/>
  </cols>
  <sheetData>
    <row r="1" spans="1:2" x14ac:dyDescent="0.25">
      <c r="A1" s="47" t="s">
        <v>156</v>
      </c>
      <c r="B1" s="48"/>
    </row>
    <row r="3" spans="1:2" ht="25.5" x14ac:dyDescent="0.25">
      <c r="A3" s="27" t="s">
        <v>157</v>
      </c>
      <c r="B3" s="43" t="s">
        <v>158</v>
      </c>
    </row>
    <row r="5" spans="1:2" x14ac:dyDescent="0.25">
      <c r="A5" s="27" t="s">
        <v>159</v>
      </c>
      <c r="B5" s="43" t="s">
        <v>160</v>
      </c>
    </row>
    <row r="7" spans="1:2" ht="25.5" x14ac:dyDescent="0.25">
      <c r="A7" s="27" t="s">
        <v>161</v>
      </c>
      <c r="B7" s="43" t="s">
        <v>162</v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75a2e7c-70fb-426a-9b9f-efd6a35da554}" enabled="1" method="Standard" siteId="{74892fe7-b6cb-43e7-912b-52194d3fd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CCE Calculation</vt:lpstr>
      <vt:lpstr>QC Protocol</vt:lpstr>
      <vt:lpstr>Mean Compressibility</vt:lpstr>
      <vt:lpstr>Summary</vt:lpstr>
      <vt:lpstr>PVTsim Compare</vt:lpstr>
      <vt:lpstr>Charts</vt:lpstr>
      <vt:lpstr>Report Tab</vt:lpstr>
      <vt:lpstr>Macro Ready</vt:lpstr>
      <vt:lpstr>'CCE Calculation'!Print_Area</vt:lpstr>
      <vt:lpstr>'Report Tab'!Print_Titles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Athif (ADNOC Technology)</cp:lastModifiedBy>
  <dcterms:created xsi:type="dcterms:W3CDTF">2026-06-16T07:58:59Z</dcterms:created>
  <dcterms:modified xsi:type="dcterms:W3CDTF">2026-07-02T11:41:51Z</dcterms:modified>
</cp:coreProperties>
</file>