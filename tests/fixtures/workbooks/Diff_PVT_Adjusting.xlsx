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dnocmpsa-my.sharepoint.com/personal/mathif_adnoc_ae/Documents/Desktop/PVT_practical sheets/practical sheets/"/>
    </mc:Choice>
  </mc:AlternateContent>
  <xr:revisionPtr revIDLastSave="5" documentId="11_2271BD651268C53AE64C447EBFEB2F6E90368627" xr6:coauthVersionLast="47" xr6:coauthVersionMax="47" xr10:uidLastSave="{6FF6C6A4-9F3D-4C47-A5D4-F6CADFEE9044}"/>
  <bookViews>
    <workbookView xWindow="38280" yWindow="-120" windowWidth="29040" windowHeight="15720" activeTab="1" xr2:uid="{00000000-000D-0000-FFFF-FFFF00000000}"/>
  </bookViews>
  <sheets>
    <sheet name="AMYX Method" sheetId="1" r:id="rId1"/>
    <sheet name="CARLSON Meth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H13" i="2" s="1"/>
  <c r="G13" i="2"/>
  <c r="I13" i="2"/>
  <c r="F14" i="2"/>
  <c r="H14" i="2" s="1"/>
  <c r="G14" i="2"/>
  <c r="I14" i="2" s="1"/>
  <c r="F14" i="1"/>
  <c r="H14" i="1" s="1"/>
  <c r="G14" i="1"/>
  <c r="I14" i="1" s="1"/>
  <c r="G8" i="2" l="1"/>
  <c r="I8" i="2" s="1"/>
  <c r="G9" i="2"/>
  <c r="I9" i="2" s="1"/>
  <c r="G10" i="2"/>
  <c r="I10" i="2" s="1"/>
  <c r="G11" i="2"/>
  <c r="I11" i="2" s="1"/>
  <c r="G12" i="2"/>
  <c r="I12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7" i="2"/>
  <c r="I7" i="2" s="1"/>
  <c r="F8" i="2"/>
  <c r="H8" i="2" s="1"/>
  <c r="F9" i="2"/>
  <c r="H9" i="2" s="1"/>
  <c r="F10" i="2"/>
  <c r="H10" i="2" s="1"/>
  <c r="F11" i="2"/>
  <c r="H11" i="2" s="1"/>
  <c r="F12" i="2"/>
  <c r="H12" i="2" s="1"/>
  <c r="F15" i="2"/>
  <c r="H15" i="2" s="1"/>
  <c r="F16" i="2"/>
  <c r="F17" i="2"/>
  <c r="F18" i="2"/>
  <c r="F19" i="2"/>
  <c r="F20" i="2"/>
  <c r="F21" i="2"/>
  <c r="F22" i="2"/>
  <c r="F23" i="2"/>
  <c r="F7" i="2"/>
  <c r="H7" i="2" s="1"/>
  <c r="G18" i="1"/>
  <c r="G19" i="1"/>
  <c r="G20" i="1"/>
  <c r="G21" i="1"/>
  <c r="G22" i="1"/>
  <c r="G23" i="1"/>
  <c r="G24" i="1"/>
  <c r="I24" i="1" s="1"/>
  <c r="G17" i="1"/>
  <c r="F17" i="1"/>
  <c r="F18" i="1"/>
  <c r="F19" i="1"/>
  <c r="F20" i="1"/>
  <c r="F21" i="1"/>
  <c r="F22" i="1"/>
  <c r="F23" i="1"/>
  <c r="F24" i="1"/>
  <c r="H24" i="1" s="1"/>
  <c r="G9" i="1"/>
  <c r="I9" i="1" s="1"/>
  <c r="G10" i="1"/>
  <c r="I10" i="1" s="1"/>
  <c r="G11" i="1"/>
  <c r="I11" i="1" s="1"/>
  <c r="G12" i="1"/>
  <c r="I12" i="1" s="1"/>
  <c r="G13" i="1"/>
  <c r="I13" i="1" s="1"/>
  <c r="G15" i="1"/>
  <c r="I15" i="1" s="1"/>
  <c r="G16" i="1"/>
  <c r="I16" i="1" s="1"/>
  <c r="G8" i="1"/>
  <c r="I8" i="1" s="1"/>
  <c r="F9" i="1"/>
  <c r="H9" i="1" s="1"/>
  <c r="F10" i="1"/>
  <c r="H10" i="1" s="1"/>
  <c r="F11" i="1"/>
  <c r="H11" i="1" s="1"/>
  <c r="F12" i="1"/>
  <c r="H12" i="1" s="1"/>
  <c r="F13" i="1"/>
  <c r="H13" i="1" s="1"/>
  <c r="F15" i="1"/>
  <c r="H15" i="1" s="1"/>
  <c r="F16" i="1"/>
  <c r="H16" i="1" s="1"/>
  <c r="F8" i="1"/>
  <c r="H8" i="1" s="1"/>
  <c r="H20" i="1" l="1"/>
  <c r="I17" i="1"/>
  <c r="H23" i="1"/>
  <c r="H20" i="2"/>
  <c r="H16" i="2"/>
  <c r="I20" i="1"/>
  <c r="H21" i="1"/>
  <c r="I22" i="1"/>
  <c r="I23" i="1"/>
  <c r="H19" i="1"/>
  <c r="H18" i="1"/>
  <c r="I19" i="1"/>
  <c r="H22" i="1"/>
  <c r="I21" i="1"/>
  <c r="H17" i="1"/>
  <c r="I18" i="1"/>
  <c r="H19" i="2"/>
  <c r="H17" i="2"/>
  <c r="H22" i="2"/>
  <c r="H21" i="2"/>
  <c r="H18" i="2"/>
  <c r="H23" i="2"/>
</calcChain>
</file>

<file path=xl/sharedStrings.xml><?xml version="1.0" encoding="utf-8"?>
<sst xmlns="http://schemas.openxmlformats.org/spreadsheetml/2006/main" count="34" uniqueCount="15">
  <si>
    <t>Separator Test data</t>
  </si>
  <si>
    <t>Rsf</t>
  </si>
  <si>
    <t>Bof</t>
  </si>
  <si>
    <t>Differential Test Data</t>
  </si>
  <si>
    <t>Rs @ Pb</t>
  </si>
  <si>
    <t>Bo @ Pb</t>
  </si>
  <si>
    <t>Differential test to be adjusted</t>
  </si>
  <si>
    <t>P</t>
  </si>
  <si>
    <t>Bo</t>
  </si>
  <si>
    <t>Rs</t>
  </si>
  <si>
    <t>Pb</t>
  </si>
  <si>
    <t>No.</t>
  </si>
  <si>
    <t>First Adjusting</t>
  </si>
  <si>
    <t>Second Adjusting</t>
  </si>
  <si>
    <t>Production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</si>
</sst>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299923</xdr:colOff>
      <xdr:row>0</xdr:row>
      <xdr:rowOff>21946</xdr:rowOff>
    </xdr:from>
    <xdr:to>
      <xdr:col>20</xdr:col>
      <xdr:colOff>373074</xdr:colOff>
      <xdr:row>20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3561" y="21946"/>
          <a:ext cx="7154265" cy="3708806"/>
        </a:xfrm>
        <a:prstGeom prst="rect">
          <a:avLst/>
        </a:prstGeom>
      </xdr:spPr>
    </xdr:pic>
    <xdr:clientData/>
  </xdr:twoCellAnchor>
  <xdr:twoCellAnchor editAs="oneCell">
    <xdr:from>
      <xdr:col>9</xdr:col>
      <xdr:colOff>21946</xdr:colOff>
      <xdr:row>21</xdr:row>
      <xdr:rowOff>65836</xdr:rowOff>
    </xdr:from>
    <xdr:to>
      <xdr:col>20</xdr:col>
      <xdr:colOff>87782</xdr:colOff>
      <xdr:row>23</xdr:row>
      <xdr:rowOff>160933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5584" y="3723436"/>
          <a:ext cx="7146950" cy="460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343815</xdr:colOff>
      <xdr:row>4</xdr:row>
      <xdr:rowOff>160269</xdr:rowOff>
    </xdr:from>
    <xdr:to>
      <xdr:col>13</xdr:col>
      <xdr:colOff>486944</xdr:colOff>
      <xdr:row>9</xdr:row>
      <xdr:rowOff>117697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7453" y="891789"/>
          <a:ext cx="2718080" cy="871828"/>
        </a:xfrm>
        <a:prstGeom prst="rect">
          <a:avLst/>
        </a:prstGeom>
      </xdr:spPr>
    </xdr:pic>
    <xdr:clientData/>
  </xdr:twoCellAnchor>
  <xdr:twoCellAnchor editAs="oneCell">
    <xdr:from>
      <xdr:col>13</xdr:col>
      <xdr:colOff>614143</xdr:colOff>
      <xdr:row>4</xdr:row>
      <xdr:rowOff>109728</xdr:rowOff>
    </xdr:from>
    <xdr:to>
      <xdr:col>18</xdr:col>
      <xdr:colOff>286746</xdr:colOff>
      <xdr:row>9</xdr:row>
      <xdr:rowOff>117697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2732" y="841248"/>
          <a:ext cx="2891291" cy="922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sqref="A1:B1"/>
    </sheetView>
  </sheetViews>
  <sheetFormatPr defaultRowHeight="15" x14ac:dyDescent="0.25"/>
  <sheetData>
    <row r="1" spans="1:9" x14ac:dyDescent="0.25">
      <c r="A1" s="9" t="s">
        <v>0</v>
      </c>
      <c r="B1" s="9"/>
      <c r="D1" s="9" t="s">
        <v>3</v>
      </c>
      <c r="E1" s="9"/>
    </row>
    <row r="2" spans="1:9" x14ac:dyDescent="0.25">
      <c r="A2" s="2" t="s">
        <v>1</v>
      </c>
      <c r="B2" s="1">
        <v>110.12830498746106</v>
      </c>
      <c r="D2" s="2" t="s">
        <v>4</v>
      </c>
      <c r="E2" s="1">
        <v>118.41273209268927</v>
      </c>
    </row>
    <row r="3" spans="1:9" x14ac:dyDescent="0.25">
      <c r="A3" s="2" t="s">
        <v>2</v>
      </c>
      <c r="B3" s="1">
        <v>1.087</v>
      </c>
      <c r="D3" s="2" t="s">
        <v>5</v>
      </c>
      <c r="E3" s="1">
        <v>1.1060661363636364</v>
      </c>
    </row>
    <row r="6" spans="1:9" x14ac:dyDescent="0.25">
      <c r="A6" s="7" t="s">
        <v>11</v>
      </c>
      <c r="B6" s="6" t="s">
        <v>6</v>
      </c>
      <c r="C6" s="6"/>
      <c r="D6" s="6"/>
      <c r="E6" s="6"/>
      <c r="F6" s="6" t="s">
        <v>12</v>
      </c>
      <c r="G6" s="6"/>
      <c r="H6" s="6" t="s">
        <v>13</v>
      </c>
      <c r="I6" s="6"/>
    </row>
    <row r="7" spans="1:9" x14ac:dyDescent="0.25">
      <c r="A7" s="8"/>
      <c r="B7" s="5"/>
      <c r="C7" s="3" t="s">
        <v>7</v>
      </c>
      <c r="D7" s="3" t="s">
        <v>8</v>
      </c>
      <c r="E7" s="3" t="s">
        <v>9</v>
      </c>
      <c r="F7" s="3" t="s">
        <v>8</v>
      </c>
      <c r="G7" s="3" t="s">
        <v>9</v>
      </c>
      <c r="H7" s="3" t="s">
        <v>8</v>
      </c>
      <c r="I7" s="3" t="s">
        <v>9</v>
      </c>
    </row>
    <row r="8" spans="1:9" x14ac:dyDescent="0.25">
      <c r="A8" s="4">
        <v>1</v>
      </c>
      <c r="B8" s="4"/>
      <c r="C8" s="4">
        <v>2900</v>
      </c>
      <c r="D8" s="4">
        <v>1.0910372315119776</v>
      </c>
      <c r="E8" s="4">
        <v>118.41273209268927</v>
      </c>
      <c r="F8" s="4">
        <f>D8*$B$3/$E$3</f>
        <v>1.0722301602619699</v>
      </c>
      <c r="G8" s="4">
        <f>$B$2</f>
        <v>110.12830498746106</v>
      </c>
      <c r="H8" s="4">
        <f>F8</f>
        <v>1.0722301602619699</v>
      </c>
      <c r="I8" s="4">
        <f>G8</f>
        <v>110.12830498746106</v>
      </c>
    </row>
    <row r="9" spans="1:9" x14ac:dyDescent="0.25">
      <c r="A9" s="4">
        <v>2</v>
      </c>
      <c r="B9" s="4"/>
      <c r="C9" s="4">
        <v>2537.5</v>
      </c>
      <c r="D9" s="4">
        <v>1.0928691582197461</v>
      </c>
      <c r="E9" s="4">
        <v>118.41273209268927</v>
      </c>
      <c r="F9" s="4">
        <f t="shared" ref="F9:F24" si="0">D9*$B$3/$E$3</f>
        <v>1.0740305086008954</v>
      </c>
      <c r="G9" s="4">
        <f t="shared" ref="G9:G16" si="1">$B$2</f>
        <v>110.12830498746106</v>
      </c>
      <c r="H9" s="4">
        <f t="shared" ref="H9:H16" si="2">F9</f>
        <v>1.0740305086008954</v>
      </c>
      <c r="I9" s="4">
        <f t="shared" ref="I9:I16" si="3">G9</f>
        <v>110.12830498746106</v>
      </c>
    </row>
    <row r="10" spans="1:9" x14ac:dyDescent="0.25">
      <c r="A10" s="4">
        <v>3</v>
      </c>
      <c r="B10" s="4"/>
      <c r="C10" s="4">
        <v>2090.4899999999998</v>
      </c>
      <c r="D10" s="4">
        <v>1.09541798183373</v>
      </c>
      <c r="E10" s="4">
        <v>118.41273209268927</v>
      </c>
      <c r="F10" s="4">
        <f t="shared" si="0"/>
        <v>1.0765353961273405</v>
      </c>
      <c r="G10" s="4">
        <f t="shared" si="1"/>
        <v>110.12830498746106</v>
      </c>
      <c r="H10" s="4">
        <f t="shared" si="2"/>
        <v>1.0765353961273405</v>
      </c>
      <c r="I10" s="4">
        <f t="shared" si="3"/>
        <v>110.12830498746106</v>
      </c>
    </row>
    <row r="11" spans="1:9" x14ac:dyDescent="0.25">
      <c r="A11" s="4">
        <v>4</v>
      </c>
      <c r="B11" s="4"/>
      <c r="C11" s="4">
        <v>1812.5</v>
      </c>
      <c r="D11" s="4">
        <v>1.0971157388542354</v>
      </c>
      <c r="E11" s="4">
        <v>118.41273209268927</v>
      </c>
      <c r="F11" s="4">
        <f t="shared" si="0"/>
        <v>1.0782038875679671</v>
      </c>
      <c r="G11" s="4">
        <f t="shared" si="1"/>
        <v>110.12830498746106</v>
      </c>
      <c r="H11" s="4">
        <f t="shared" si="2"/>
        <v>1.0782038875679671</v>
      </c>
      <c r="I11" s="4">
        <f t="shared" si="3"/>
        <v>110.12830498746106</v>
      </c>
    </row>
    <row r="12" spans="1:9" x14ac:dyDescent="0.25">
      <c r="A12" s="4">
        <v>5</v>
      </c>
      <c r="B12" s="4"/>
      <c r="C12" s="4">
        <v>1450</v>
      </c>
      <c r="D12" s="4">
        <v>1.0995223059317174</v>
      </c>
      <c r="E12" s="4">
        <v>118.41273209268927</v>
      </c>
      <c r="F12" s="4">
        <f t="shared" si="0"/>
        <v>1.0805689707462869</v>
      </c>
      <c r="G12" s="4">
        <f t="shared" si="1"/>
        <v>110.12830498746106</v>
      </c>
      <c r="H12" s="4">
        <f t="shared" si="2"/>
        <v>1.0805689707462869</v>
      </c>
      <c r="I12" s="4">
        <f t="shared" si="3"/>
        <v>110.12830498746106</v>
      </c>
    </row>
    <row r="13" spans="1:9" x14ac:dyDescent="0.25">
      <c r="A13" s="4">
        <v>6</v>
      </c>
      <c r="B13" s="4"/>
      <c r="C13" s="4">
        <v>1087.5</v>
      </c>
      <c r="D13" s="4">
        <v>1.1021228384735606</v>
      </c>
      <c r="E13" s="4">
        <v>118.41273209268927</v>
      </c>
      <c r="F13" s="4">
        <f t="shared" si="0"/>
        <v>1.0831246758529245</v>
      </c>
      <c r="G13" s="4">
        <f t="shared" si="1"/>
        <v>110.12830498746106</v>
      </c>
      <c r="H13" s="4">
        <f t="shared" si="2"/>
        <v>1.0831246758529245</v>
      </c>
      <c r="I13" s="4">
        <f t="shared" si="3"/>
        <v>110.12830498746106</v>
      </c>
    </row>
    <row r="14" spans="1:9" x14ac:dyDescent="0.25">
      <c r="A14" s="4">
        <v>7</v>
      </c>
      <c r="B14" s="4"/>
      <c r="C14" s="4">
        <v>725</v>
      </c>
      <c r="D14" s="4">
        <v>1.1049187192762235</v>
      </c>
      <c r="E14" s="4">
        <v>118.41273209268927</v>
      </c>
      <c r="F14" s="4">
        <f t="shared" ref="F14" si="4">D14*$B$3/$E$3</f>
        <v>1.0858723618479829</v>
      </c>
      <c r="G14" s="4">
        <f t="shared" si="1"/>
        <v>110.12830498746106</v>
      </c>
      <c r="H14" s="4">
        <f t="shared" ref="H14" si="5">F14</f>
        <v>1.0858723618479829</v>
      </c>
      <c r="I14" s="4">
        <f t="shared" ref="I14" si="6">G14</f>
        <v>110.12830498746106</v>
      </c>
    </row>
    <row r="15" spans="1:9" x14ac:dyDescent="0.25">
      <c r="A15" s="4">
        <v>8</v>
      </c>
      <c r="B15" s="4"/>
      <c r="C15" s="4">
        <v>652.5</v>
      </c>
      <c r="D15" s="4">
        <v>1.105485736314394</v>
      </c>
      <c r="E15" s="4">
        <v>118.41273209268927</v>
      </c>
      <c r="F15" s="4">
        <f t="shared" si="0"/>
        <v>1.086429604765226</v>
      </c>
      <c r="G15" s="4">
        <f t="shared" si="1"/>
        <v>110.12830498746106</v>
      </c>
      <c r="H15" s="4">
        <f t="shared" si="2"/>
        <v>1.086429604765226</v>
      </c>
      <c r="I15" s="4">
        <f t="shared" si="3"/>
        <v>110.12830498746106</v>
      </c>
    </row>
    <row r="16" spans="1:9" x14ac:dyDescent="0.25">
      <c r="A16" s="4">
        <v>9</v>
      </c>
      <c r="B16" s="4" t="s">
        <v>10</v>
      </c>
      <c r="C16" s="4">
        <v>580</v>
      </c>
      <c r="D16" s="4">
        <v>1.1060661363636364</v>
      </c>
      <c r="E16" s="4">
        <v>118.41273209268927</v>
      </c>
      <c r="F16" s="4">
        <f t="shared" si="0"/>
        <v>1.087</v>
      </c>
      <c r="G16" s="4">
        <f t="shared" si="1"/>
        <v>110.12830498746106</v>
      </c>
      <c r="H16" s="4">
        <f t="shared" si="2"/>
        <v>1.087</v>
      </c>
      <c r="I16" s="4">
        <f t="shared" si="3"/>
        <v>110.12830498746106</v>
      </c>
    </row>
    <row r="17" spans="1:9" x14ac:dyDescent="0.25">
      <c r="A17" s="2">
        <v>1</v>
      </c>
      <c r="B17" s="2"/>
      <c r="C17" s="2">
        <v>507.5</v>
      </c>
      <c r="D17" s="2">
        <v>1.0930475152068369</v>
      </c>
      <c r="E17" s="2">
        <v>103.77543824688172</v>
      </c>
      <c r="F17" s="2">
        <f t="shared" si="0"/>
        <v>1.0742057911076046</v>
      </c>
      <c r="G17" s="2">
        <f>$B$2-($E$2-E17)*$B$3/$E$3</f>
        <v>95.743325746796643</v>
      </c>
      <c r="H17" s="2">
        <f>F17+(1-$F$24)/$A$24*A17</f>
        <v>1.0762428138476585</v>
      </c>
      <c r="I17" s="2">
        <f>G17-$G$24/($A$24)*(A17)</f>
        <v>96.523732401060869</v>
      </c>
    </row>
    <row r="18" spans="1:9" x14ac:dyDescent="0.25">
      <c r="A18" s="2">
        <v>2</v>
      </c>
      <c r="B18" s="2"/>
      <c r="C18" s="2">
        <v>435</v>
      </c>
      <c r="D18" s="2">
        <v>1.0800288940500373</v>
      </c>
      <c r="E18" s="2">
        <v>89.138144401074157</v>
      </c>
      <c r="F18" s="2">
        <f t="shared" si="0"/>
        <v>1.061411582215209</v>
      </c>
      <c r="G18" s="2">
        <f t="shared" ref="G18:G24" si="7">$B$2-($E$2-E18)*$B$3/$E$3</f>
        <v>81.358346506132222</v>
      </c>
      <c r="H18" s="2">
        <f t="shared" ref="H18:H24" si="8">F18+(1-$F$24)/$A$24*A18</f>
        <v>1.0654856276953169</v>
      </c>
      <c r="I18" s="2">
        <f t="shared" ref="I18:I24" si="9">G18-$G$24/($A$24)*(A18)</f>
        <v>82.919159814660659</v>
      </c>
    </row>
    <row r="19" spans="1:9" x14ac:dyDescent="0.25">
      <c r="A19" s="2">
        <v>3</v>
      </c>
      <c r="B19" s="2"/>
      <c r="C19" s="2">
        <v>362.5</v>
      </c>
      <c r="D19" s="2">
        <v>1.0670102728932378</v>
      </c>
      <c r="E19" s="2">
        <v>74.500850555266609</v>
      </c>
      <c r="F19" s="2">
        <f t="shared" si="0"/>
        <v>1.0486173733228137</v>
      </c>
      <c r="G19" s="2">
        <f t="shared" si="7"/>
        <v>66.9733672654678</v>
      </c>
      <c r="H19" s="2">
        <f t="shared" si="8"/>
        <v>1.0547284415429754</v>
      </c>
      <c r="I19" s="2">
        <f t="shared" si="9"/>
        <v>69.31458722826045</v>
      </c>
    </row>
    <row r="20" spans="1:9" x14ac:dyDescent="0.25">
      <c r="A20" s="2">
        <v>4</v>
      </c>
      <c r="B20" s="2"/>
      <c r="C20" s="2">
        <v>290</v>
      </c>
      <c r="D20" s="2">
        <v>1.0539916517364383</v>
      </c>
      <c r="E20" s="2">
        <v>59.863556709459054</v>
      </c>
      <c r="F20" s="2">
        <f t="shared" si="0"/>
        <v>1.0358231644304183</v>
      </c>
      <c r="G20" s="2">
        <f t="shared" si="7"/>
        <v>52.588388024803386</v>
      </c>
      <c r="H20" s="2">
        <f t="shared" si="8"/>
        <v>1.043971255390634</v>
      </c>
      <c r="I20" s="2">
        <f t="shared" si="9"/>
        <v>55.710014641860262</v>
      </c>
    </row>
    <row r="21" spans="1:9" x14ac:dyDescent="0.25">
      <c r="A21" s="2">
        <v>5</v>
      </c>
      <c r="B21" s="2"/>
      <c r="C21" s="2">
        <v>217.5</v>
      </c>
      <c r="D21" s="2">
        <v>1.0409730305796387</v>
      </c>
      <c r="E21" s="2">
        <v>45.226262863651499</v>
      </c>
      <c r="F21" s="2">
        <f t="shared" si="0"/>
        <v>1.0230289555380228</v>
      </c>
      <c r="G21" s="2">
        <f t="shared" si="7"/>
        <v>38.203408784138972</v>
      </c>
      <c r="H21" s="2">
        <f t="shared" si="8"/>
        <v>1.0332140692382923</v>
      </c>
      <c r="I21" s="2">
        <f t="shared" si="9"/>
        <v>42.105442055460067</v>
      </c>
    </row>
    <row r="22" spans="1:9" x14ac:dyDescent="0.25">
      <c r="A22" s="2">
        <v>6</v>
      </c>
      <c r="B22" s="2"/>
      <c r="C22" s="2">
        <v>145</v>
      </c>
      <c r="D22" s="2">
        <v>1.0279544094228392</v>
      </c>
      <c r="E22" s="2">
        <v>30.588969017843944</v>
      </c>
      <c r="F22" s="2">
        <f t="shared" si="0"/>
        <v>1.0102347466456274</v>
      </c>
      <c r="G22" s="2">
        <f t="shared" si="7"/>
        <v>23.818429543474551</v>
      </c>
      <c r="H22" s="2">
        <f t="shared" si="8"/>
        <v>1.0224568830859508</v>
      </c>
      <c r="I22" s="2">
        <f t="shared" si="9"/>
        <v>28.500869469059865</v>
      </c>
    </row>
    <row r="23" spans="1:9" x14ac:dyDescent="0.25">
      <c r="A23" s="2">
        <v>7</v>
      </c>
      <c r="B23" s="2"/>
      <c r="C23" s="2">
        <v>72.5</v>
      </c>
      <c r="D23" s="2">
        <v>1.0149357882660395</v>
      </c>
      <c r="E23" s="2">
        <v>15.951675172036392</v>
      </c>
      <c r="F23" s="2">
        <f t="shared" si="0"/>
        <v>0.99744053775323194</v>
      </c>
      <c r="G23" s="2">
        <f t="shared" si="7"/>
        <v>9.4334503028101153</v>
      </c>
      <c r="H23" s="2">
        <f t="shared" si="8"/>
        <v>1.0116996969336092</v>
      </c>
      <c r="I23" s="2">
        <f t="shared" si="9"/>
        <v>14.896296882659648</v>
      </c>
    </row>
    <row r="24" spans="1:9" x14ac:dyDescent="0.25">
      <c r="A24" s="2">
        <v>8</v>
      </c>
      <c r="B24" s="2"/>
      <c r="C24" s="2">
        <v>0</v>
      </c>
      <c r="D24" s="2">
        <v>1.0009581245532899</v>
      </c>
      <c r="E24" s="2">
        <v>0</v>
      </c>
      <c r="F24" s="2">
        <f t="shared" si="0"/>
        <v>0.98370381807956886</v>
      </c>
      <c r="G24" s="2">
        <f t="shared" si="7"/>
        <v>-6.2432532341137517</v>
      </c>
      <c r="H24" s="2">
        <f t="shared" si="8"/>
        <v>1</v>
      </c>
      <c r="I24" s="2">
        <f t="shared" si="9"/>
        <v>0</v>
      </c>
    </row>
  </sheetData>
  <mergeCells count="6">
    <mergeCell ref="B6:E6"/>
    <mergeCell ref="F6:G6"/>
    <mergeCell ref="H6:I6"/>
    <mergeCell ref="A6:A7"/>
    <mergeCell ref="A1:B1"/>
    <mergeCell ref="D1:E1"/>
  </mergeCells>
  <pageMargins left="0.7" right="0.7" top="0.75" bottom="0.75" header="0.3" footer="0.3"/>
  <headerFooter>
    <oddHeader>&amp;L&amp;"arial"&amp;10&amp;K737373 ADNOC Classification: Public&amp;1#_x000D_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selection activeCell="D14" sqref="D14"/>
    </sheetView>
  </sheetViews>
  <sheetFormatPr defaultRowHeight="15" x14ac:dyDescent="0.25"/>
  <sheetData>
    <row r="1" spans="1:9" x14ac:dyDescent="0.25">
      <c r="A1" s="9" t="s">
        <v>14</v>
      </c>
      <c r="B1" s="9"/>
      <c r="D1" s="9" t="s">
        <v>3</v>
      </c>
      <c r="E1" s="9"/>
    </row>
    <row r="2" spans="1:9" x14ac:dyDescent="0.25">
      <c r="A2" s="2" t="s">
        <v>1</v>
      </c>
      <c r="B2" s="1">
        <v>110.12830498746106</v>
      </c>
      <c r="D2" s="2" t="s">
        <v>4</v>
      </c>
      <c r="E2" s="1">
        <v>118.41273209268927</v>
      </c>
    </row>
    <row r="5" spans="1:9" x14ac:dyDescent="0.25">
      <c r="A5" s="7" t="s">
        <v>11</v>
      </c>
      <c r="B5" s="6" t="s">
        <v>6</v>
      </c>
      <c r="C5" s="6"/>
      <c r="D5" s="6"/>
      <c r="E5" s="6"/>
      <c r="F5" s="6" t="s">
        <v>12</v>
      </c>
      <c r="G5" s="6"/>
      <c r="H5" s="10" t="s">
        <v>13</v>
      </c>
      <c r="I5" s="11"/>
    </row>
    <row r="6" spans="1:9" x14ac:dyDescent="0.25">
      <c r="A6" s="8"/>
      <c r="B6" s="5"/>
      <c r="C6" s="3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</row>
    <row r="7" spans="1:9" x14ac:dyDescent="0.25">
      <c r="A7" s="4">
        <v>1</v>
      </c>
      <c r="B7" s="4"/>
      <c r="C7" s="4">
        <v>2900</v>
      </c>
      <c r="D7" s="4">
        <v>1.0910372315119801</v>
      </c>
      <c r="E7" s="4">
        <v>118.41273209268927</v>
      </c>
      <c r="F7" s="4">
        <f>D7*$B$2/$E$2</f>
        <v>1.0147057572371032</v>
      </c>
      <c r="G7" s="4">
        <f>E7*$B$2/$E$2</f>
        <v>110.12830498746106</v>
      </c>
      <c r="H7" s="4">
        <f>F7</f>
        <v>1.0147057572371032</v>
      </c>
      <c r="I7" s="4">
        <f>G7</f>
        <v>110.12830498746106</v>
      </c>
    </row>
    <row r="8" spans="1:9" x14ac:dyDescent="0.25">
      <c r="A8" s="4">
        <v>2</v>
      </c>
      <c r="B8" s="4"/>
      <c r="C8" s="4">
        <v>2537.5</v>
      </c>
      <c r="D8" s="4">
        <v>1.0928691582197501</v>
      </c>
      <c r="E8" s="4">
        <v>118.41273209268927</v>
      </c>
      <c r="F8" s="4">
        <f t="shared" ref="F8:F23" si="0">D8*$B$2/$E$2</f>
        <v>1.0164095181386763</v>
      </c>
      <c r="G8" s="4">
        <f t="shared" ref="G8:G23" si="1">E8*$B$2/$E$2</f>
        <v>110.12830498746106</v>
      </c>
      <c r="H8" s="4">
        <f t="shared" ref="H8:H15" si="2">F8</f>
        <v>1.0164095181386763</v>
      </c>
      <c r="I8" s="4">
        <f t="shared" ref="I8:I23" si="3">G8</f>
        <v>110.12830498746106</v>
      </c>
    </row>
    <row r="9" spans="1:9" x14ac:dyDescent="0.25">
      <c r="A9" s="4">
        <v>3</v>
      </c>
      <c r="B9" s="4"/>
      <c r="C9" s="4">
        <v>2090.4899999999998</v>
      </c>
      <c r="D9" s="4">
        <v>1.09541798183373</v>
      </c>
      <c r="E9" s="4">
        <v>118.41273209268927</v>
      </c>
      <c r="F9" s="4">
        <f t="shared" si="0"/>
        <v>1.0187800201899244</v>
      </c>
      <c r="G9" s="4">
        <f t="shared" si="1"/>
        <v>110.12830498746106</v>
      </c>
      <c r="H9" s="4">
        <f t="shared" si="2"/>
        <v>1.0187800201899244</v>
      </c>
      <c r="I9" s="4">
        <f t="shared" si="3"/>
        <v>110.12830498746106</v>
      </c>
    </row>
    <row r="10" spans="1:9" x14ac:dyDescent="0.25">
      <c r="A10" s="4">
        <v>4</v>
      </c>
      <c r="B10" s="4"/>
      <c r="C10" s="4">
        <v>1812.5</v>
      </c>
      <c r="D10" s="4">
        <v>1.0971157388542354</v>
      </c>
      <c r="E10" s="4">
        <v>118.41273209268927</v>
      </c>
      <c r="F10" s="4">
        <f t="shared" si="0"/>
        <v>1.0203589982241656</v>
      </c>
      <c r="G10" s="4">
        <f t="shared" si="1"/>
        <v>110.12830498746106</v>
      </c>
      <c r="H10" s="4">
        <f t="shared" si="2"/>
        <v>1.0203589982241656</v>
      </c>
      <c r="I10" s="4">
        <f t="shared" si="3"/>
        <v>110.12830498746106</v>
      </c>
    </row>
    <row r="11" spans="1:9" x14ac:dyDescent="0.25">
      <c r="A11" s="4">
        <v>5</v>
      </c>
      <c r="B11" s="4"/>
      <c r="C11" s="4">
        <v>1450</v>
      </c>
      <c r="D11" s="4">
        <v>1.0995223059317174</v>
      </c>
      <c r="E11" s="4">
        <v>118.41273209268927</v>
      </c>
      <c r="F11" s="4">
        <f t="shared" si="0"/>
        <v>1.0225971963334217</v>
      </c>
      <c r="G11" s="4">
        <f t="shared" si="1"/>
        <v>110.12830498746106</v>
      </c>
      <c r="H11" s="4">
        <f t="shared" si="2"/>
        <v>1.0225971963334217</v>
      </c>
      <c r="I11" s="4">
        <f t="shared" si="3"/>
        <v>110.12830498746106</v>
      </c>
    </row>
    <row r="12" spans="1:9" x14ac:dyDescent="0.25">
      <c r="A12" s="4">
        <v>6</v>
      </c>
      <c r="B12" s="4"/>
      <c r="C12" s="4">
        <v>1087.5</v>
      </c>
      <c r="D12" s="4">
        <v>1.10212283847356</v>
      </c>
      <c r="E12" s="4">
        <v>118.41273209268927</v>
      </c>
      <c r="F12" s="4">
        <f t="shared" si="0"/>
        <v>1.0250157896370007</v>
      </c>
      <c r="G12" s="4">
        <f t="shared" si="1"/>
        <v>110.12830498746106</v>
      </c>
      <c r="H12" s="4">
        <f t="shared" si="2"/>
        <v>1.0250157896370007</v>
      </c>
      <c r="I12" s="4">
        <f t="shared" si="3"/>
        <v>110.12830498746106</v>
      </c>
    </row>
    <row r="13" spans="1:9" x14ac:dyDescent="0.25">
      <c r="A13" s="4">
        <v>7</v>
      </c>
      <c r="B13" s="4"/>
      <c r="C13" s="4">
        <v>725</v>
      </c>
      <c r="D13" s="4">
        <v>1.1049187192762235</v>
      </c>
      <c r="E13" s="4">
        <v>118.41273209268927</v>
      </c>
      <c r="F13" s="4">
        <f t="shared" ref="F13:F14" si="4">D13*$B$2/$E$2</f>
        <v>1.0276160641877417</v>
      </c>
      <c r="G13" s="4">
        <f t="shared" ref="G13:G14" si="5">E13*$B$2/$E$2</f>
        <v>110.12830498746106</v>
      </c>
      <c r="H13" s="4">
        <f t="shared" ref="H13:H14" si="6">F13</f>
        <v>1.0276160641877417</v>
      </c>
      <c r="I13" s="4">
        <f t="shared" ref="I13:I14" si="7">G13</f>
        <v>110.12830498746106</v>
      </c>
    </row>
    <row r="14" spans="1:9" x14ac:dyDescent="0.25">
      <c r="A14" s="4">
        <v>8</v>
      </c>
      <c r="B14" s="4"/>
      <c r="C14" s="4">
        <v>652.5</v>
      </c>
      <c r="D14" s="4">
        <v>1.105485736314394</v>
      </c>
      <c r="E14" s="4">
        <v>118.41273209268927</v>
      </c>
      <c r="F14" s="4">
        <f t="shared" si="4"/>
        <v>1.0281434114096926</v>
      </c>
      <c r="G14" s="4">
        <f t="shared" si="5"/>
        <v>110.12830498746106</v>
      </c>
      <c r="H14" s="4">
        <f t="shared" si="6"/>
        <v>1.0281434114096926</v>
      </c>
      <c r="I14" s="4">
        <f t="shared" si="7"/>
        <v>110.12830498746106</v>
      </c>
    </row>
    <row r="15" spans="1:9" x14ac:dyDescent="0.25">
      <c r="A15" s="4">
        <v>9</v>
      </c>
      <c r="B15" s="4" t="s">
        <v>10</v>
      </c>
      <c r="C15" s="4">
        <v>580</v>
      </c>
      <c r="D15" s="4">
        <v>1.1060661363636364</v>
      </c>
      <c r="E15" s="4">
        <v>118.41273209268927</v>
      </c>
      <c r="F15" s="4">
        <f t="shared" si="0"/>
        <v>1.0286832053364781</v>
      </c>
      <c r="G15" s="4">
        <f t="shared" si="1"/>
        <v>110.12830498746106</v>
      </c>
      <c r="H15" s="4">
        <f t="shared" si="2"/>
        <v>1.0286832053364781</v>
      </c>
      <c r="I15" s="4">
        <f t="shared" si="3"/>
        <v>110.12830498746106</v>
      </c>
    </row>
    <row r="16" spans="1:9" x14ac:dyDescent="0.25">
      <c r="A16" s="2">
        <v>1</v>
      </c>
      <c r="B16" s="2"/>
      <c r="C16" s="2">
        <v>507.5</v>
      </c>
      <c r="D16" s="2">
        <v>1.0930475152068369</v>
      </c>
      <c r="E16" s="2">
        <v>103.77543824688172</v>
      </c>
      <c r="F16" s="2">
        <f t="shared" si="0"/>
        <v>1.0165753968606972</v>
      </c>
      <c r="G16" s="2">
        <f t="shared" si="1"/>
        <v>96.515069887198536</v>
      </c>
      <c r="H16" s="2">
        <f>F16+(1-$F$23)/$A$23*A16</f>
        <v>1.0252092978860166</v>
      </c>
      <c r="I16" s="2">
        <f t="shared" si="3"/>
        <v>96.515069887198536</v>
      </c>
    </row>
    <row r="17" spans="1:9" x14ac:dyDescent="0.25">
      <c r="A17" s="2">
        <v>2</v>
      </c>
      <c r="B17" s="2"/>
      <c r="C17" s="2">
        <v>435</v>
      </c>
      <c r="D17" s="2">
        <v>1.0800288940500373</v>
      </c>
      <c r="E17" s="2">
        <v>89.138144401074157</v>
      </c>
      <c r="F17" s="2">
        <f t="shared" si="0"/>
        <v>1.0044675883849163</v>
      </c>
      <c r="G17" s="2">
        <f t="shared" si="1"/>
        <v>82.901834786935993</v>
      </c>
      <c r="H17" s="2">
        <f t="shared" ref="H17:H23" si="8">F17+(1-$F$23)/$A$23*A17</f>
        <v>1.0217353904355551</v>
      </c>
      <c r="I17" s="2">
        <f t="shared" si="3"/>
        <v>82.901834786935993</v>
      </c>
    </row>
    <row r="18" spans="1:9" x14ac:dyDescent="0.25">
      <c r="A18" s="2">
        <v>3</v>
      </c>
      <c r="B18" s="2"/>
      <c r="C18" s="2">
        <v>362.5</v>
      </c>
      <c r="D18" s="2">
        <v>1.0670102728932378</v>
      </c>
      <c r="E18" s="2">
        <v>74.500850555266609</v>
      </c>
      <c r="F18" s="2">
        <f t="shared" si="0"/>
        <v>0.9923597799091356</v>
      </c>
      <c r="G18" s="2">
        <f t="shared" si="1"/>
        <v>69.288599686673464</v>
      </c>
      <c r="H18" s="2">
        <f t="shared" si="8"/>
        <v>1.0182614829850938</v>
      </c>
      <c r="I18" s="2">
        <f t="shared" si="3"/>
        <v>69.288599686673464</v>
      </c>
    </row>
    <row r="19" spans="1:9" x14ac:dyDescent="0.25">
      <c r="A19" s="2">
        <v>4</v>
      </c>
      <c r="B19" s="2"/>
      <c r="C19" s="2">
        <v>290</v>
      </c>
      <c r="D19" s="2">
        <v>1.0539916517364383</v>
      </c>
      <c r="E19" s="2">
        <v>59.863556709459054</v>
      </c>
      <c r="F19" s="2">
        <f t="shared" si="0"/>
        <v>0.98025197143335463</v>
      </c>
      <c r="G19" s="2">
        <f t="shared" si="1"/>
        <v>55.675364586410936</v>
      </c>
      <c r="H19" s="2">
        <f t="shared" si="8"/>
        <v>1.0147875755346321</v>
      </c>
      <c r="I19" s="2">
        <f t="shared" si="3"/>
        <v>55.675364586410936</v>
      </c>
    </row>
    <row r="20" spans="1:9" x14ac:dyDescent="0.25">
      <c r="A20" s="2">
        <v>5</v>
      </c>
      <c r="B20" s="2"/>
      <c r="C20" s="2">
        <v>217.5</v>
      </c>
      <c r="D20" s="2">
        <v>1.0409730305796387</v>
      </c>
      <c r="E20" s="2">
        <v>45.226262863651499</v>
      </c>
      <c r="F20" s="2">
        <f t="shared" si="0"/>
        <v>0.96814416295757377</v>
      </c>
      <c r="G20" s="2">
        <f t="shared" si="1"/>
        <v>42.0621294861484</v>
      </c>
      <c r="H20" s="2">
        <f t="shared" si="8"/>
        <v>1.0113136680841708</v>
      </c>
      <c r="I20" s="2">
        <f t="shared" si="3"/>
        <v>42.0621294861484</v>
      </c>
    </row>
    <row r="21" spans="1:9" x14ac:dyDescent="0.25">
      <c r="A21" s="2">
        <v>6</v>
      </c>
      <c r="B21" s="2"/>
      <c r="C21" s="2">
        <v>145</v>
      </c>
      <c r="D21" s="2">
        <v>1.0279544094228392</v>
      </c>
      <c r="E21" s="2">
        <v>30.588969017843944</v>
      </c>
      <c r="F21" s="2">
        <f t="shared" si="0"/>
        <v>0.95603635448179292</v>
      </c>
      <c r="G21" s="2">
        <f t="shared" si="1"/>
        <v>28.448894385885868</v>
      </c>
      <c r="H21" s="2">
        <f t="shared" si="8"/>
        <v>1.0078397606337093</v>
      </c>
      <c r="I21" s="2">
        <f t="shared" si="3"/>
        <v>28.448894385885868</v>
      </c>
    </row>
    <row r="22" spans="1:9" x14ac:dyDescent="0.25">
      <c r="A22" s="2">
        <v>7</v>
      </c>
      <c r="B22" s="2"/>
      <c r="C22" s="2">
        <v>72.5</v>
      </c>
      <c r="D22" s="2">
        <v>1.0149357882660395</v>
      </c>
      <c r="E22" s="2">
        <v>15.951675172036392</v>
      </c>
      <c r="F22" s="2">
        <f t="shared" si="0"/>
        <v>0.94392854600601184</v>
      </c>
      <c r="G22" s="2">
        <f t="shared" si="1"/>
        <v>14.835659285623338</v>
      </c>
      <c r="H22" s="2">
        <f t="shared" si="8"/>
        <v>1.0043658531832476</v>
      </c>
      <c r="I22" s="2">
        <f t="shared" si="3"/>
        <v>14.835659285623338</v>
      </c>
    </row>
    <row r="23" spans="1:9" x14ac:dyDescent="0.25">
      <c r="A23" s="2">
        <v>8</v>
      </c>
      <c r="B23" s="2"/>
      <c r="C23" s="2">
        <v>0</v>
      </c>
      <c r="D23" s="2">
        <v>1.0009581245532899</v>
      </c>
      <c r="E23" s="2">
        <v>0</v>
      </c>
      <c r="F23" s="2">
        <f t="shared" si="0"/>
        <v>0.93092879179744492</v>
      </c>
      <c r="G23" s="2">
        <f t="shared" si="1"/>
        <v>0</v>
      </c>
      <c r="H23" s="2">
        <f t="shared" si="8"/>
        <v>1</v>
      </c>
      <c r="I23" s="2">
        <f t="shared" si="3"/>
        <v>0</v>
      </c>
    </row>
  </sheetData>
  <mergeCells count="6">
    <mergeCell ref="H5:I5"/>
    <mergeCell ref="A1:B1"/>
    <mergeCell ref="D1:E1"/>
    <mergeCell ref="A5:A6"/>
    <mergeCell ref="B5:E5"/>
    <mergeCell ref="F5:G5"/>
  </mergeCells>
  <pageMargins left="0.7" right="0.7" top="0.75" bottom="0.75" header="0.3" footer="0.3"/>
  <headerFooter>
    <oddHeader>&amp;L&amp;"arial"&amp;10&amp;K737373 ADNOC Classification: Public&amp;1#_x000D_</oddHeader>
  </headerFooter>
  <drawing r:id="rId1"/>
</worksheet>
</file>

<file path=docMetadata/LabelInfo.xml><?xml version="1.0" encoding="utf-8"?>
<clbl:labelList xmlns:clbl="http://schemas.microsoft.com/office/2020/mipLabelMetadata">
  <clbl:label id="{2c5ce59d-8065-4e55-8401-511b31f80404}" enabled="1" method="Privileged" siteId="{74892fe7-b6cb-43e7-912b-52194d3fd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AMYX Method</vt:lpstr>
      <vt:lpstr>CARLSON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C.S</dc:creator>
  <cp:lastModifiedBy>Muhammad Athif (ADNOC Technology)</cp:lastModifiedBy>
  <dcterms:created xsi:type="dcterms:W3CDTF">2021-09-02T11:59:41Z</dcterms:created>
  <dcterms:modified xsi:type="dcterms:W3CDTF">2025-10-14T04:55:31Z</dcterms:modified>
</cp:coreProperties>
</file>