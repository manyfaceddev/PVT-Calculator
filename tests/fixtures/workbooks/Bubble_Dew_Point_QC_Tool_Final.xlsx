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if\Downloads\"/>
    </mc:Choice>
  </mc:AlternateContent>
  <xr:revisionPtr revIDLastSave="0" documentId="13_ncr:1_{29DA6C67-CC2A-4F17-896F-EA15C165756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BP_DP_QC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K25" i="1"/>
  <c r="I25" i="1"/>
  <c r="H25" i="1"/>
  <c r="G25" i="1"/>
  <c r="F25" i="1"/>
  <c r="D25" i="1"/>
  <c r="L24" i="1"/>
  <c r="K24" i="1"/>
  <c r="I24" i="1"/>
  <c r="H24" i="1"/>
  <c r="G24" i="1"/>
  <c r="F24" i="1"/>
  <c r="D24" i="1"/>
  <c r="L23" i="1"/>
  <c r="K23" i="1"/>
  <c r="I23" i="1"/>
  <c r="H23" i="1"/>
  <c r="G23" i="1"/>
  <c r="F23" i="1"/>
  <c r="D23" i="1"/>
  <c r="L22" i="1"/>
  <c r="K22" i="1"/>
  <c r="I22" i="1"/>
  <c r="H22" i="1"/>
  <c r="G22" i="1"/>
  <c r="F22" i="1"/>
  <c r="D22" i="1"/>
  <c r="L21" i="1"/>
  <c r="K21" i="1"/>
  <c r="I21" i="1"/>
  <c r="H21" i="1"/>
  <c r="G21" i="1"/>
  <c r="F21" i="1"/>
  <c r="D21" i="1"/>
  <c r="L20" i="1"/>
  <c r="K20" i="1"/>
  <c r="I20" i="1"/>
  <c r="H20" i="1"/>
  <c r="G20" i="1"/>
  <c r="F20" i="1"/>
  <c r="D20" i="1"/>
  <c r="L19" i="1"/>
  <c r="K19" i="1"/>
  <c r="J19" i="1"/>
  <c r="H19" i="1"/>
  <c r="G19" i="1"/>
  <c r="F19" i="1"/>
  <c r="D19" i="1"/>
  <c r="L18" i="1"/>
  <c r="K18" i="1"/>
  <c r="J18" i="1"/>
  <c r="H18" i="1"/>
  <c r="G18" i="1"/>
  <c r="F18" i="1"/>
  <c r="D18" i="1"/>
  <c r="L17" i="1"/>
  <c r="K17" i="1"/>
  <c r="J17" i="1"/>
  <c r="H17" i="1"/>
  <c r="G17" i="1"/>
  <c r="F17" i="1"/>
  <c r="D17" i="1"/>
  <c r="L16" i="1"/>
  <c r="K16" i="1"/>
  <c r="J16" i="1"/>
  <c r="H16" i="1"/>
  <c r="G16" i="1"/>
  <c r="F16" i="1"/>
  <c r="D16" i="1"/>
  <c r="L15" i="1"/>
  <c r="K15" i="1"/>
  <c r="J15" i="1"/>
  <c r="H15" i="1"/>
  <c r="G15" i="1"/>
  <c r="F15" i="1"/>
  <c r="D15" i="1"/>
  <c r="J14" i="1"/>
  <c r="H14" i="1"/>
  <c r="G14" i="1"/>
  <c r="F14" i="1"/>
  <c r="D14" i="1"/>
  <c r="P6" i="1" l="1"/>
  <c r="P7" i="1" s="1"/>
  <c r="P4" i="1"/>
  <c r="K10" i="1" l="1"/>
  <c r="P5" i="1"/>
  <c r="I15" i="1" s="1"/>
  <c r="P10" i="1"/>
  <c r="J22" i="1"/>
  <c r="J21" i="1"/>
  <c r="J24" i="1"/>
  <c r="J20" i="1"/>
  <c r="J23" i="1"/>
  <c r="J25" i="1"/>
  <c r="I19" i="1" l="1"/>
  <c r="I18" i="1"/>
  <c r="I14" i="1"/>
  <c r="I17" i="1"/>
  <c r="I16" i="1"/>
  <c r="P8" i="1"/>
  <c r="K8" i="1" s="1"/>
  <c r="K14" i="1" l="1"/>
  <c r="P9" i="1"/>
  <c r="L14" i="1" s="1"/>
  <c r="K9" i="1" l="1"/>
</calcChain>
</file>

<file path=xl/sharedStrings.xml><?xml version="1.0" encoding="utf-8"?>
<sst xmlns="http://schemas.openxmlformats.org/spreadsheetml/2006/main" count="49" uniqueCount="48">
  <si>
    <t>Bubble Point / Dew Point QC Tool — Final</t>
  </si>
  <si>
    <t>Single-sheet breakpoint QC by above-point and below-point trend intersection</t>
  </si>
  <si>
    <t>Sample Information</t>
  </si>
  <si>
    <t>QC Setup &amp; Results</t>
  </si>
  <si>
    <t>Above slope m1</t>
  </si>
  <si>
    <t>Client</t>
  </si>
  <si>
    <t>ADNOC</t>
  </si>
  <si>
    <t>Mode</t>
  </si>
  <si>
    <t>Bubble Point</t>
  </si>
  <si>
    <t>Above intercept b1</t>
  </si>
  <si>
    <t>Well / Reservoir</t>
  </si>
  <si>
    <t>Enter well / reservoir</t>
  </si>
  <si>
    <t>Above points used</t>
  </si>
  <si>
    <t>Below slope m2</t>
  </si>
  <si>
    <t>Sample ID</t>
  </si>
  <si>
    <t>Enter sample ID</t>
  </si>
  <si>
    <t>Below points used</t>
  </si>
  <si>
    <t>Below intercept b2</t>
  </si>
  <si>
    <t>Fluid Type</t>
  </si>
  <si>
    <t>Black Oil</t>
  </si>
  <si>
    <t>Estimated Pressure (psig)</t>
  </si>
  <si>
    <t>Estimated breakpoint</t>
  </si>
  <si>
    <t>Test Type</t>
  </si>
  <si>
    <t>QC Value at intersection</t>
  </si>
  <si>
    <t>Y @ breakpoint</t>
  </si>
  <si>
    <t>Reservoir Temp (°F)</t>
  </si>
  <si>
    <t>QC Verdict</t>
  </si>
  <si>
    <t>QC note</t>
  </si>
  <si>
    <t>Data Entry &amp; Automatic Trend QC</t>
  </si>
  <si>
    <t>#</t>
  </si>
  <si>
    <t>Use</t>
  </si>
  <si>
    <t>Pressure (psig)</t>
  </si>
  <si>
    <t>Temperature (°F)</t>
  </si>
  <si>
    <t>QC Value (Y)</t>
  </si>
  <si>
    <t>Region</t>
  </si>
  <si>
    <t>X·Y</t>
  </si>
  <si>
    <t>X²</t>
  </si>
  <si>
    <t>Above Fit</t>
  </si>
  <si>
    <t>Below Fit</t>
  </si>
  <si>
    <t>BP X</t>
  </si>
  <si>
    <t>BP Y</t>
  </si>
  <si>
    <t>Exclude?</t>
  </si>
  <si>
    <t>Comment</t>
  </si>
  <si>
    <t>How to use</t>
  </si>
  <si>
    <t>Enter 4–6 points above and 4–6 points below the expected breakpoint.</t>
  </si>
  <si>
    <t>Y can be Relative Volume (black oil / volatile oil) or Liquid Dropout / optical QC signal (condensate).</t>
  </si>
  <si>
    <t>Use the intersection as a QC estimate of bubble point / dew point.</t>
  </si>
  <si>
    <t>Set Use = 0 to ignore unstable or noisy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</si>
</sst>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4C81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10"/>
      <color rgb="FF0F4C81"/>
      <name val="Calibri"/>
    </font>
    <font>
      <sz val="10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DE7F6"/>
      </patternFill>
    </fill>
    <fill>
      <patternFill patternType="solid">
        <fgColor rgb="FFF3F4F6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Breakpoint QC Plot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 Points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BP_DP_QC_Final!$C$14:$C$25</c:f>
              <c:numCache>
                <c:formatCode>General</c:formatCode>
                <c:ptCount val="12"/>
                <c:pt idx="0">
                  <c:v>7000</c:v>
                </c:pt>
                <c:pt idx="1">
                  <c:v>6500</c:v>
                </c:pt>
                <c:pt idx="2">
                  <c:v>6000</c:v>
                </c:pt>
                <c:pt idx="3">
                  <c:v>5600</c:v>
                </c:pt>
                <c:pt idx="4">
                  <c:v>5200</c:v>
                </c:pt>
                <c:pt idx="5">
                  <c:v>4800</c:v>
                </c:pt>
                <c:pt idx="6">
                  <c:v>4400</c:v>
                </c:pt>
                <c:pt idx="7">
                  <c:v>4000</c:v>
                </c:pt>
                <c:pt idx="8">
                  <c:v>3600</c:v>
                </c:pt>
                <c:pt idx="9">
                  <c:v>3200</c:v>
                </c:pt>
                <c:pt idx="10">
                  <c:v>2800</c:v>
                </c:pt>
                <c:pt idx="11">
                  <c:v>2400</c:v>
                </c:pt>
              </c:numCache>
            </c:numRef>
          </c:xVal>
          <c:yVal>
            <c:numRef>
              <c:f>BP_DP_QC_Final!$E$14:$E$25</c:f>
              <c:numCache>
                <c:formatCode>General</c:formatCode>
                <c:ptCount val="12"/>
                <c:pt idx="0">
                  <c:v>0.96299999999999997</c:v>
                </c:pt>
                <c:pt idx="1">
                  <c:v>0.96899999999999997</c:v>
                </c:pt>
                <c:pt idx="2">
                  <c:v>0.97499999999999998</c:v>
                </c:pt>
                <c:pt idx="3">
                  <c:v>0.98099999999999998</c:v>
                </c:pt>
                <c:pt idx="4">
                  <c:v>0.98799999999999999</c:v>
                </c:pt>
                <c:pt idx="5">
                  <c:v>0.995</c:v>
                </c:pt>
                <c:pt idx="6">
                  <c:v>1.01</c:v>
                </c:pt>
                <c:pt idx="7">
                  <c:v>1.026</c:v>
                </c:pt>
                <c:pt idx="8">
                  <c:v>1.0489999999999999</c:v>
                </c:pt>
                <c:pt idx="9">
                  <c:v>1.0820000000000001</c:v>
                </c:pt>
                <c:pt idx="10">
                  <c:v>1.1279999999999999</c:v>
                </c:pt>
                <c:pt idx="11">
                  <c:v>1.1910000000000001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C-4243-A168-D006243343BC}"/>
            </c:ext>
          </c:extLst>
        </c:ser>
        <c:ser>
          <c:idx val="1"/>
          <c:order val="1"/>
          <c:tx>
            <c:v>Above-point fit</c:v>
          </c:tx>
          <c:spPr>
            <a:ln w="18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BP_DP_QC_Final!$C$14:$C$25</c:f>
              <c:numCache>
                <c:formatCode>General</c:formatCode>
                <c:ptCount val="12"/>
                <c:pt idx="0">
                  <c:v>7000</c:v>
                </c:pt>
                <c:pt idx="1">
                  <c:v>6500</c:v>
                </c:pt>
                <c:pt idx="2">
                  <c:v>6000</c:v>
                </c:pt>
                <c:pt idx="3">
                  <c:v>5600</c:v>
                </c:pt>
                <c:pt idx="4">
                  <c:v>5200</c:v>
                </c:pt>
                <c:pt idx="5">
                  <c:v>4800</c:v>
                </c:pt>
                <c:pt idx="6">
                  <c:v>4400</c:v>
                </c:pt>
                <c:pt idx="7">
                  <c:v>4000</c:v>
                </c:pt>
                <c:pt idx="8">
                  <c:v>3600</c:v>
                </c:pt>
                <c:pt idx="9">
                  <c:v>3200</c:v>
                </c:pt>
                <c:pt idx="10">
                  <c:v>2800</c:v>
                </c:pt>
                <c:pt idx="11">
                  <c:v>2400</c:v>
                </c:pt>
              </c:numCache>
            </c:numRef>
          </c:xVal>
          <c:yVal>
            <c:numRef>
              <c:f>BP_DP_QC_Final!$I$14:$I$25</c:f>
              <c:numCache>
                <c:formatCode>General</c:formatCode>
                <c:ptCount val="12"/>
                <c:pt idx="0">
                  <c:v>0.96182414307004405</c:v>
                </c:pt>
                <c:pt idx="1">
                  <c:v>0.96907451564828573</c:v>
                </c:pt>
                <c:pt idx="2">
                  <c:v>0.97632488822652741</c:v>
                </c:pt>
                <c:pt idx="3">
                  <c:v>0.98212518628912071</c:v>
                </c:pt>
                <c:pt idx="4">
                  <c:v>0.98792548435171401</c:v>
                </c:pt>
                <c:pt idx="5">
                  <c:v>0.99372578241430731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CC-4243-A168-D006243343BC}"/>
            </c:ext>
          </c:extLst>
        </c:ser>
        <c:ser>
          <c:idx val="2"/>
          <c:order val="2"/>
          <c:tx>
            <c:v>Below-point fit</c:v>
          </c:tx>
          <c:spPr>
            <a:ln w="18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BP_DP_QC_Final!$C$14:$C$25</c:f>
              <c:numCache>
                <c:formatCode>General</c:formatCode>
                <c:ptCount val="12"/>
                <c:pt idx="0">
                  <c:v>7000</c:v>
                </c:pt>
                <c:pt idx="1">
                  <c:v>6500</c:v>
                </c:pt>
                <c:pt idx="2">
                  <c:v>6000</c:v>
                </c:pt>
                <c:pt idx="3">
                  <c:v>5600</c:v>
                </c:pt>
                <c:pt idx="4">
                  <c:v>5200</c:v>
                </c:pt>
                <c:pt idx="5">
                  <c:v>4800</c:v>
                </c:pt>
                <c:pt idx="6">
                  <c:v>4400</c:v>
                </c:pt>
                <c:pt idx="7">
                  <c:v>4000</c:v>
                </c:pt>
                <c:pt idx="8">
                  <c:v>3600</c:v>
                </c:pt>
                <c:pt idx="9">
                  <c:v>3200</c:v>
                </c:pt>
                <c:pt idx="10">
                  <c:v>2800</c:v>
                </c:pt>
                <c:pt idx="11">
                  <c:v>2400</c:v>
                </c:pt>
              </c:numCache>
            </c:numRef>
          </c:xVal>
          <c:yVal>
            <c:numRef>
              <c:f>BP_DP_QC_Final!$J$14:$J$25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0.99214285714285744</c:v>
                </c:pt>
                <c:pt idx="7">
                  <c:v>1.0276857142857145</c:v>
                </c:pt>
                <c:pt idx="8">
                  <c:v>1.0632285714285716</c:v>
                </c:pt>
                <c:pt idx="9">
                  <c:v>1.0987714285714285</c:v>
                </c:pt>
                <c:pt idx="10">
                  <c:v>1.1343142857142856</c:v>
                </c:pt>
                <c:pt idx="11">
                  <c:v>1.1698571428571427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CC-4243-A168-D006243343BC}"/>
            </c:ext>
          </c:extLst>
        </c:ser>
        <c:ser>
          <c:idx val="3"/>
          <c:order val="3"/>
          <c:tx>
            <c:v>Estimated breakpoint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ln>
                <a:prstDash val="solid"/>
              </a:ln>
            </c:spPr>
          </c:marker>
          <c:xVal>
            <c:numRef>
              <c:f>BP_DP_QC_Final!$K$14:$K$25</c:f>
              <c:numCache>
                <c:formatCode>General</c:formatCode>
                <c:ptCount val="12"/>
                <c:pt idx="0">
                  <c:v>4300.7049351184778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xVal>
          <c:yVal>
            <c:numRef>
              <c:f>BP_DP_QC_Final!$L$14:$L$25</c:f>
              <c:numCache>
                <c:formatCode>General</c:formatCode>
                <c:ptCount val="12"/>
                <c:pt idx="0">
                  <c:v>1.000965932908044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CC-4243-A168-D00624334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axMin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(psig)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QC Value (Y)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904874</xdr:colOff>
      <xdr:row>10</xdr:row>
      <xdr:rowOff>123824</xdr:rowOff>
    </xdr:from>
    <xdr:ext cx="4600575" cy="4086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pane ySplit="12" topLeftCell="A13" activePane="bottomLeft" state="frozen"/>
      <selection pane="bottomLeft" activeCell="E30" sqref="E30"/>
    </sheetView>
  </sheetViews>
  <sheetFormatPr defaultRowHeight="15" x14ac:dyDescent="0.25"/>
  <cols>
    <col min="1" max="1" width="4" customWidth="1"/>
    <col min="2" max="2" width="16" customWidth="1"/>
    <col min="3" max="3" width="17" customWidth="1"/>
    <col min="4" max="9" width="14" customWidth="1"/>
    <col min="10" max="10" width="15" customWidth="1"/>
    <col min="11" max="16" width="14" customWidth="1"/>
  </cols>
  <sheetData>
    <row r="1" spans="1:16" x14ac:dyDescent="0.25">
      <c r="A1" s="17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6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6" x14ac:dyDescent="0.25">
      <c r="A4" s="12" t="s">
        <v>2</v>
      </c>
      <c r="B4" s="13"/>
      <c r="C4" s="13"/>
      <c r="D4" s="13"/>
      <c r="E4" s="13"/>
      <c r="F4" s="13"/>
      <c r="H4" s="12" t="s">
        <v>3</v>
      </c>
      <c r="I4" s="13"/>
      <c r="J4" s="13"/>
      <c r="K4" s="13"/>
      <c r="L4" s="13"/>
      <c r="M4" s="13"/>
      <c r="N4" s="13"/>
      <c r="O4" s="2" t="s">
        <v>4</v>
      </c>
      <c r="P4">
        <f>IF($K$6&lt;2,"",(SUMPRODUCT(($B$14:$B$25=1)*($A$14:$A$25&lt;=$K$6),$G$14:$G$25)-SUMPRODUCT(($B$14:$B$25=1)*($A$14:$A$25&lt;=$K$6),$C$14:$C$25)*SUMPRODUCT(($B$14:$B$25=1)*($A$14:$A$25&lt;=$K$6),$E$14:$E$25)/SUMPRODUCT(($B$14:$B$25=1)*($A$14:$A$25&lt;=$K$6)))/(SUMPRODUCT(($B$14:$B$25=1)*($A$14:$A$25&lt;=$K$6),$H$14:$H$25)-SUMPRODUCT(($B$14:$B$25=1)*($A$14:$A$25&lt;=$K$6),$C$14:$C$25)^2/SUMPRODUCT(($B$14:$B$25=1)*($A$14:$A$25&lt;=$K$6))))</f>
        <v>-1.4500745156483296E-5</v>
      </c>
    </row>
    <row r="5" spans="1:16" x14ac:dyDescent="0.25">
      <c r="B5" s="3" t="s">
        <v>5</v>
      </c>
      <c r="D5" s="4" t="s">
        <v>6</v>
      </c>
      <c r="I5" s="3" t="s">
        <v>7</v>
      </c>
      <c r="K5" s="4" t="s">
        <v>8</v>
      </c>
      <c r="O5" s="2" t="s">
        <v>9</v>
      </c>
      <c r="P5">
        <f>IF($K$6&lt;2,"",(SUMPRODUCT(($B$14:$B$25=1)*($A$14:$A$25&lt;=$K$6),$E$14:$E$25)-P4*SUMPRODUCT(($B$14:$B$25=1)*($A$14:$A$25&lt;=$K$6),$C$14:$C$25))/SUMPRODUCT(($B$14:$B$25=1)*($A$14:$A$25&lt;=$K$6)))</f>
        <v>1.0633293591654271</v>
      </c>
    </row>
    <row r="6" spans="1:16" ht="25.5" x14ac:dyDescent="0.25">
      <c r="B6" s="3" t="s">
        <v>10</v>
      </c>
      <c r="D6" s="4" t="s">
        <v>11</v>
      </c>
      <c r="I6" s="3" t="s">
        <v>12</v>
      </c>
      <c r="K6" s="4">
        <v>6</v>
      </c>
      <c r="O6" s="2" t="s">
        <v>13</v>
      </c>
      <c r="P6">
        <f>IF($K$7&lt;2,"",(SUMPRODUCT(($B$14:$B$25=1)*($A$14:$A$25&gt;$K$6)*($A$14:$A$25&lt;=$K$6+$K$7),$G$14:$G$25)-SUMPRODUCT(($B$14:$B$25=1)*($A$14:$A$25&gt;$K$6)*($A$14:$A$25&lt;=$K$6+$K$7),$C$14:$C$25)*SUMPRODUCT(($B$14:$B$25=1)*($A$14:$A$25&gt;$K$6)*($A$14:$A$25&lt;=$K$6+$K$7),$E$14:$E$25)/SUMPRODUCT(($B$14:$B$25=1)*($A$14:$A$25&gt;$K$6)*($A$14:$A$25&lt;=$K$6+$K$7)))/(SUMPRODUCT(($B$14:$B$25=1)*($A$14:$A$25&gt;$K$6)*($A$14:$A$25&lt;=$K$6+$K$7),$H$14:$H$25)-SUMPRODUCT(($B$14:$B$25=1)*($A$14:$A$25&gt;$K$6)*($A$14:$A$25&lt;=$K$6+$K$7),$C$14:$C$25)^2/SUMPRODUCT(($B$14:$B$25=1)*($A$14:$A$25&gt;$K$6)*($A$14:$A$25&lt;=$K$6+$K$7))))</f>
        <v>-8.8857142857142599E-5</v>
      </c>
    </row>
    <row r="7" spans="1:16" ht="25.5" x14ac:dyDescent="0.25">
      <c r="B7" s="3" t="s">
        <v>14</v>
      </c>
      <c r="D7" s="4" t="s">
        <v>15</v>
      </c>
      <c r="I7" s="3" t="s">
        <v>16</v>
      </c>
      <c r="K7" s="4">
        <v>6</v>
      </c>
      <c r="O7" s="2" t="s">
        <v>17</v>
      </c>
      <c r="P7">
        <f>IF($K$7&lt;2,"",(SUMPRODUCT(($B$14:$B$25=1)*($A$14:$A$25&gt;$K$6)*($A$14:$A$25&lt;=$K$6+$K$7),$E$14:$E$25)-P6*SUMPRODUCT(($B$14:$B$25=1)*($A$14:$A$25&gt;$K$6)*($A$14:$A$25&lt;=$K$6+$K$7),$C$14:$C$25))/SUMPRODUCT(($B$14:$B$25=1)*($A$14:$A$25&gt;$K$6)*($A$14:$A$25&lt;=$K$6+$K$7)))</f>
        <v>1.3831142857142849</v>
      </c>
    </row>
    <row r="8" spans="1:16" ht="25.5" x14ac:dyDescent="0.25">
      <c r="B8" s="3" t="s">
        <v>18</v>
      </c>
      <c r="D8" s="4" t="s">
        <v>19</v>
      </c>
      <c r="I8" s="3" t="s">
        <v>20</v>
      </c>
      <c r="K8" s="5">
        <f>P8</f>
        <v>4300.7049351184778</v>
      </c>
      <c r="O8" s="2" t="s">
        <v>21</v>
      </c>
      <c r="P8">
        <f>IFERROR((P7-P5)/(P4-P6),"")</f>
        <v>4300.7049351184778</v>
      </c>
    </row>
    <row r="9" spans="1:16" ht="25.5" x14ac:dyDescent="0.25">
      <c r="B9" s="3" t="s">
        <v>22</v>
      </c>
      <c r="D9" s="4" t="s">
        <v>8</v>
      </c>
      <c r="I9" s="3" t="s">
        <v>23</v>
      </c>
      <c r="K9" s="5">
        <f>P9</f>
        <v>1.000965932908044</v>
      </c>
      <c r="O9" s="2" t="s">
        <v>24</v>
      </c>
      <c r="P9">
        <f>IFERROR(P4*P8+P5,"")</f>
        <v>1.000965932908044</v>
      </c>
    </row>
    <row r="10" spans="1:16" ht="25.5" x14ac:dyDescent="0.25">
      <c r="B10" s="3" t="s">
        <v>25</v>
      </c>
      <c r="D10" s="4">
        <v>256</v>
      </c>
      <c r="I10" s="3" t="s">
        <v>26</v>
      </c>
      <c r="K10" s="6" t="str">
        <f>IF(OR(COUNT(C14:C25)&lt;4,COUNT(E14:E25)&lt;4),"Need data",IF(ABS(P4-P6)&lt;0.000001,"Review slopes","OK"))</f>
        <v>OK</v>
      </c>
      <c r="O10" s="2" t="s">
        <v>27</v>
      </c>
      <c r="P10" t="str">
        <f>IF(OR($K$6&lt;2,$K$7&lt;2),"Need &gt;=2 points in each region",IF(ABS(P4-P6)&lt;0.000000001,"Parallel trends – review points","Intersection calculated"))</f>
        <v>Intersection calculated</v>
      </c>
    </row>
    <row r="12" spans="1:16" x14ac:dyDescent="0.25">
      <c r="A12" s="14" t="s">
        <v>28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6" ht="25.5" x14ac:dyDescent="0.25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38</v>
      </c>
      <c r="K13" s="1" t="s">
        <v>39</v>
      </c>
      <c r="L13" s="1" t="s">
        <v>40</v>
      </c>
      <c r="M13" s="1" t="s">
        <v>41</v>
      </c>
      <c r="N13" s="1" t="s">
        <v>42</v>
      </c>
    </row>
    <row r="14" spans="1:16" x14ac:dyDescent="0.25">
      <c r="A14" s="7">
        <v>1</v>
      </c>
      <c r="B14" s="8">
        <v>1</v>
      </c>
      <c r="C14" s="8">
        <v>7000</v>
      </c>
      <c r="D14" s="9">
        <f t="shared" ref="D14:D25" si="0">$D$10</f>
        <v>256</v>
      </c>
      <c r="E14" s="8">
        <v>0.96299999999999997</v>
      </c>
      <c r="F14" s="10" t="str">
        <f t="shared" ref="F14:F25" si="1">IF(A14&lt;=$K$6,"Above Point",IF(A14&lt;=$K$6+$K$7,"Below Point",""))</f>
        <v>Above Point</v>
      </c>
      <c r="G14" s="9">
        <f t="shared" ref="G14:G25" si="2">IF(B14=1,C14*E14,"")</f>
        <v>6741</v>
      </c>
      <c r="H14" s="9">
        <f t="shared" ref="H14:H25" si="3">IF(B14=1,C14^2,"")</f>
        <v>49000000</v>
      </c>
      <c r="I14" s="9">
        <f t="shared" ref="I14:I25" si="4">IF(A14&lt;=$K$6,$P$4*C14+$P$5,NA())</f>
        <v>0.96182414307004405</v>
      </c>
      <c r="J14" s="9" t="e">
        <f t="shared" ref="J14:J25" si="5">IF(AND(A14&gt;$K$6,A14&lt;=$K$6+$K$7),$P$6*C14+$P$7,NA())</f>
        <v>#N/A</v>
      </c>
      <c r="K14" s="9">
        <f t="shared" ref="K14:K25" si="6">IF(ROW()=14,$P$8,NA())</f>
        <v>4300.7049351184778</v>
      </c>
      <c r="L14" s="9">
        <f t="shared" ref="L14:L25" si="7">IF(ROW()=14,$P$9,NA())</f>
        <v>1.000965932908044</v>
      </c>
      <c r="M14" s="8"/>
      <c r="N14" s="8"/>
    </row>
    <row r="15" spans="1:16" x14ac:dyDescent="0.25">
      <c r="A15" s="7">
        <v>2</v>
      </c>
      <c r="B15" s="8">
        <v>1</v>
      </c>
      <c r="C15" s="8">
        <v>6500</v>
      </c>
      <c r="D15" s="9">
        <f t="shared" si="0"/>
        <v>256</v>
      </c>
      <c r="E15" s="8">
        <v>0.96899999999999997</v>
      </c>
      <c r="F15" s="10" t="str">
        <f t="shared" si="1"/>
        <v>Above Point</v>
      </c>
      <c r="G15" s="9">
        <f t="shared" si="2"/>
        <v>6298.5</v>
      </c>
      <c r="H15" s="9">
        <f t="shared" si="3"/>
        <v>42250000</v>
      </c>
      <c r="I15" s="9">
        <f t="shared" si="4"/>
        <v>0.96907451564828573</v>
      </c>
      <c r="J15" s="9" t="e">
        <f t="shared" si="5"/>
        <v>#N/A</v>
      </c>
      <c r="K15" s="9" t="e">
        <f t="shared" si="6"/>
        <v>#N/A</v>
      </c>
      <c r="L15" s="9" t="e">
        <f t="shared" si="7"/>
        <v>#N/A</v>
      </c>
      <c r="M15" s="8"/>
      <c r="N15" s="8"/>
    </row>
    <row r="16" spans="1:16" x14ac:dyDescent="0.25">
      <c r="A16" s="7">
        <v>3</v>
      </c>
      <c r="B16" s="8">
        <v>1</v>
      </c>
      <c r="C16" s="8">
        <v>6000</v>
      </c>
      <c r="D16" s="9">
        <f t="shared" si="0"/>
        <v>256</v>
      </c>
      <c r="E16" s="8">
        <v>0.97499999999999998</v>
      </c>
      <c r="F16" s="10" t="str">
        <f t="shared" si="1"/>
        <v>Above Point</v>
      </c>
      <c r="G16" s="9">
        <f t="shared" si="2"/>
        <v>5850</v>
      </c>
      <c r="H16" s="9">
        <f t="shared" si="3"/>
        <v>36000000</v>
      </c>
      <c r="I16" s="9">
        <f t="shared" si="4"/>
        <v>0.97632488822652741</v>
      </c>
      <c r="J16" s="9" t="e">
        <f t="shared" si="5"/>
        <v>#N/A</v>
      </c>
      <c r="K16" s="9" t="e">
        <f t="shared" si="6"/>
        <v>#N/A</v>
      </c>
      <c r="L16" s="9" t="e">
        <f t="shared" si="7"/>
        <v>#N/A</v>
      </c>
      <c r="M16" s="8"/>
      <c r="N16" s="8"/>
    </row>
    <row r="17" spans="1:14" x14ac:dyDescent="0.25">
      <c r="A17" s="7">
        <v>4</v>
      </c>
      <c r="B17" s="8">
        <v>1</v>
      </c>
      <c r="C17" s="8">
        <v>5600</v>
      </c>
      <c r="D17" s="9">
        <f t="shared" si="0"/>
        <v>256</v>
      </c>
      <c r="E17" s="8">
        <v>0.98099999999999998</v>
      </c>
      <c r="F17" s="10" t="str">
        <f t="shared" si="1"/>
        <v>Above Point</v>
      </c>
      <c r="G17" s="9">
        <f t="shared" si="2"/>
        <v>5493.5999999999995</v>
      </c>
      <c r="H17" s="9">
        <f t="shared" si="3"/>
        <v>31360000</v>
      </c>
      <c r="I17" s="9">
        <f t="shared" si="4"/>
        <v>0.98212518628912071</v>
      </c>
      <c r="J17" s="9" t="e">
        <f t="shared" si="5"/>
        <v>#N/A</v>
      </c>
      <c r="K17" s="9" t="e">
        <f t="shared" si="6"/>
        <v>#N/A</v>
      </c>
      <c r="L17" s="9" t="e">
        <f t="shared" si="7"/>
        <v>#N/A</v>
      </c>
      <c r="M17" s="8"/>
      <c r="N17" s="8"/>
    </row>
    <row r="18" spans="1:14" x14ac:dyDescent="0.25">
      <c r="A18" s="7">
        <v>5</v>
      </c>
      <c r="B18" s="8">
        <v>1</v>
      </c>
      <c r="C18" s="8">
        <v>5200</v>
      </c>
      <c r="D18" s="9">
        <f t="shared" si="0"/>
        <v>256</v>
      </c>
      <c r="E18" s="8">
        <v>0.98799999999999999</v>
      </c>
      <c r="F18" s="10" t="str">
        <f t="shared" si="1"/>
        <v>Above Point</v>
      </c>
      <c r="G18" s="9">
        <f t="shared" si="2"/>
        <v>5137.6000000000004</v>
      </c>
      <c r="H18" s="9">
        <f t="shared" si="3"/>
        <v>27040000</v>
      </c>
      <c r="I18" s="9">
        <f t="shared" si="4"/>
        <v>0.98792548435171401</v>
      </c>
      <c r="J18" s="9" t="e">
        <f t="shared" si="5"/>
        <v>#N/A</v>
      </c>
      <c r="K18" s="9" t="e">
        <f t="shared" si="6"/>
        <v>#N/A</v>
      </c>
      <c r="L18" s="9" t="e">
        <f t="shared" si="7"/>
        <v>#N/A</v>
      </c>
      <c r="M18" s="8"/>
      <c r="N18" s="8"/>
    </row>
    <row r="19" spans="1:14" x14ac:dyDescent="0.25">
      <c r="A19" s="7">
        <v>6</v>
      </c>
      <c r="B19" s="8">
        <v>1</v>
      </c>
      <c r="C19" s="8">
        <v>4800</v>
      </c>
      <c r="D19" s="9">
        <f t="shared" si="0"/>
        <v>256</v>
      </c>
      <c r="E19" s="8">
        <v>0.995</v>
      </c>
      <c r="F19" s="10" t="str">
        <f t="shared" si="1"/>
        <v>Above Point</v>
      </c>
      <c r="G19" s="9">
        <f t="shared" si="2"/>
        <v>4776</v>
      </c>
      <c r="H19" s="9">
        <f t="shared" si="3"/>
        <v>23040000</v>
      </c>
      <c r="I19" s="9">
        <f t="shared" si="4"/>
        <v>0.99372578241430731</v>
      </c>
      <c r="J19" s="9" t="e">
        <f t="shared" si="5"/>
        <v>#N/A</v>
      </c>
      <c r="K19" s="9" t="e">
        <f t="shared" si="6"/>
        <v>#N/A</v>
      </c>
      <c r="L19" s="9" t="e">
        <f t="shared" si="7"/>
        <v>#N/A</v>
      </c>
      <c r="M19" s="8"/>
      <c r="N19" s="8"/>
    </row>
    <row r="20" spans="1:14" x14ac:dyDescent="0.25">
      <c r="A20" s="7">
        <v>7</v>
      </c>
      <c r="B20" s="8">
        <v>1</v>
      </c>
      <c r="C20" s="8">
        <v>4400</v>
      </c>
      <c r="D20" s="9">
        <f t="shared" si="0"/>
        <v>256</v>
      </c>
      <c r="E20" s="8">
        <v>1.01</v>
      </c>
      <c r="F20" s="11" t="str">
        <f t="shared" si="1"/>
        <v>Below Point</v>
      </c>
      <c r="G20" s="9">
        <f t="shared" si="2"/>
        <v>4444</v>
      </c>
      <c r="H20" s="9">
        <f t="shared" si="3"/>
        <v>19360000</v>
      </c>
      <c r="I20" s="9" t="e">
        <f t="shared" si="4"/>
        <v>#N/A</v>
      </c>
      <c r="J20" s="9">
        <f t="shared" si="5"/>
        <v>0.99214285714285744</v>
      </c>
      <c r="K20" s="9" t="e">
        <f t="shared" si="6"/>
        <v>#N/A</v>
      </c>
      <c r="L20" s="9" t="e">
        <f t="shared" si="7"/>
        <v>#N/A</v>
      </c>
      <c r="M20" s="8"/>
      <c r="N20" s="8"/>
    </row>
    <row r="21" spans="1:14" x14ac:dyDescent="0.25">
      <c r="A21" s="7">
        <v>8</v>
      </c>
      <c r="B21" s="8">
        <v>1</v>
      </c>
      <c r="C21" s="8">
        <v>4000</v>
      </c>
      <c r="D21" s="9">
        <f t="shared" si="0"/>
        <v>256</v>
      </c>
      <c r="E21" s="8">
        <v>1.026</v>
      </c>
      <c r="F21" s="11" t="str">
        <f t="shared" si="1"/>
        <v>Below Point</v>
      </c>
      <c r="G21" s="9">
        <f t="shared" si="2"/>
        <v>4104</v>
      </c>
      <c r="H21" s="9">
        <f t="shared" si="3"/>
        <v>16000000</v>
      </c>
      <c r="I21" s="9" t="e">
        <f t="shared" si="4"/>
        <v>#N/A</v>
      </c>
      <c r="J21" s="9">
        <f t="shared" si="5"/>
        <v>1.0276857142857145</v>
      </c>
      <c r="K21" s="9" t="e">
        <f t="shared" si="6"/>
        <v>#N/A</v>
      </c>
      <c r="L21" s="9" t="e">
        <f t="shared" si="7"/>
        <v>#N/A</v>
      </c>
      <c r="M21" s="8"/>
      <c r="N21" s="8"/>
    </row>
    <row r="22" spans="1:14" x14ac:dyDescent="0.25">
      <c r="A22" s="7">
        <v>9</v>
      </c>
      <c r="B22" s="8">
        <v>1</v>
      </c>
      <c r="C22" s="8">
        <v>3600</v>
      </c>
      <c r="D22" s="9">
        <f t="shared" si="0"/>
        <v>256</v>
      </c>
      <c r="E22" s="8">
        <v>1.0489999999999999</v>
      </c>
      <c r="F22" s="11" t="str">
        <f t="shared" si="1"/>
        <v>Below Point</v>
      </c>
      <c r="G22" s="9">
        <f t="shared" si="2"/>
        <v>3776.3999999999996</v>
      </c>
      <c r="H22" s="9">
        <f t="shared" si="3"/>
        <v>12960000</v>
      </c>
      <c r="I22" s="9" t="e">
        <f t="shared" si="4"/>
        <v>#N/A</v>
      </c>
      <c r="J22" s="9">
        <f t="shared" si="5"/>
        <v>1.0632285714285716</v>
      </c>
      <c r="K22" s="9" t="e">
        <f t="shared" si="6"/>
        <v>#N/A</v>
      </c>
      <c r="L22" s="9" t="e">
        <f t="shared" si="7"/>
        <v>#N/A</v>
      </c>
      <c r="M22" s="8"/>
      <c r="N22" s="8"/>
    </row>
    <row r="23" spans="1:14" x14ac:dyDescent="0.25">
      <c r="A23" s="7">
        <v>10</v>
      </c>
      <c r="B23" s="8">
        <v>1</v>
      </c>
      <c r="C23" s="8">
        <v>3200</v>
      </c>
      <c r="D23" s="9">
        <f t="shared" si="0"/>
        <v>256</v>
      </c>
      <c r="E23" s="8">
        <v>1.0820000000000001</v>
      </c>
      <c r="F23" s="11" t="str">
        <f t="shared" si="1"/>
        <v>Below Point</v>
      </c>
      <c r="G23" s="9">
        <f t="shared" si="2"/>
        <v>3462.4</v>
      </c>
      <c r="H23" s="9">
        <f t="shared" si="3"/>
        <v>10240000</v>
      </c>
      <c r="I23" s="9" t="e">
        <f t="shared" si="4"/>
        <v>#N/A</v>
      </c>
      <c r="J23" s="9">
        <f t="shared" si="5"/>
        <v>1.0987714285714285</v>
      </c>
      <c r="K23" s="9" t="e">
        <f t="shared" si="6"/>
        <v>#N/A</v>
      </c>
      <c r="L23" s="9" t="e">
        <f t="shared" si="7"/>
        <v>#N/A</v>
      </c>
      <c r="M23" s="8"/>
      <c r="N23" s="8"/>
    </row>
    <row r="24" spans="1:14" x14ac:dyDescent="0.25">
      <c r="A24" s="7">
        <v>11</v>
      </c>
      <c r="B24" s="8">
        <v>1</v>
      </c>
      <c r="C24" s="8">
        <v>2800</v>
      </c>
      <c r="D24" s="9">
        <f t="shared" si="0"/>
        <v>256</v>
      </c>
      <c r="E24" s="8">
        <v>1.1279999999999999</v>
      </c>
      <c r="F24" s="11" t="str">
        <f t="shared" si="1"/>
        <v>Below Point</v>
      </c>
      <c r="G24" s="9">
        <f t="shared" si="2"/>
        <v>3158.3999999999996</v>
      </c>
      <c r="H24" s="9">
        <f t="shared" si="3"/>
        <v>7840000</v>
      </c>
      <c r="I24" s="9" t="e">
        <f t="shared" si="4"/>
        <v>#N/A</v>
      </c>
      <c r="J24" s="9">
        <f t="shared" si="5"/>
        <v>1.1343142857142856</v>
      </c>
      <c r="K24" s="9" t="e">
        <f t="shared" si="6"/>
        <v>#N/A</v>
      </c>
      <c r="L24" s="9" t="e">
        <f t="shared" si="7"/>
        <v>#N/A</v>
      </c>
      <c r="M24" s="8"/>
      <c r="N24" s="8"/>
    </row>
    <row r="25" spans="1:14" x14ac:dyDescent="0.25">
      <c r="A25" s="7">
        <v>12</v>
      </c>
      <c r="B25" s="8">
        <v>1</v>
      </c>
      <c r="C25" s="8">
        <v>2400</v>
      </c>
      <c r="D25" s="9">
        <f t="shared" si="0"/>
        <v>256</v>
      </c>
      <c r="E25" s="8">
        <v>1.1910000000000001</v>
      </c>
      <c r="F25" s="11" t="str">
        <f t="shared" si="1"/>
        <v>Below Point</v>
      </c>
      <c r="G25" s="9">
        <f t="shared" si="2"/>
        <v>2858.4</v>
      </c>
      <c r="H25" s="9">
        <f t="shared" si="3"/>
        <v>5760000</v>
      </c>
      <c r="I25" s="9" t="e">
        <f t="shared" si="4"/>
        <v>#N/A</v>
      </c>
      <c r="J25" s="9">
        <f t="shared" si="5"/>
        <v>1.1698571428571427</v>
      </c>
      <c r="K25" s="9" t="e">
        <f t="shared" si="6"/>
        <v>#N/A</v>
      </c>
      <c r="L25" s="9" t="e">
        <f t="shared" si="7"/>
        <v>#N/A</v>
      </c>
      <c r="M25" s="8"/>
      <c r="N25" s="8"/>
    </row>
    <row r="27" spans="1:14" x14ac:dyDescent="0.25">
      <c r="L27" s="12" t="s">
        <v>43</v>
      </c>
      <c r="M27" s="13"/>
      <c r="N27" s="13"/>
    </row>
    <row r="28" spans="1:14" x14ac:dyDescent="0.25">
      <c r="L28" s="15" t="s">
        <v>44</v>
      </c>
      <c r="M28" s="13"/>
      <c r="N28" s="13"/>
    </row>
    <row r="29" spans="1:14" x14ac:dyDescent="0.25">
      <c r="L29" s="15" t="s">
        <v>45</v>
      </c>
      <c r="M29" s="13"/>
      <c r="N29" s="13"/>
    </row>
    <row r="30" spans="1:14" x14ac:dyDescent="0.25">
      <c r="L30" s="15" t="s">
        <v>46</v>
      </c>
      <c r="M30" s="13"/>
      <c r="N30" s="13"/>
    </row>
    <row r="31" spans="1:14" x14ac:dyDescent="0.25">
      <c r="L31" s="15" t="s">
        <v>47</v>
      </c>
      <c r="M31" s="13"/>
      <c r="N31" s="13"/>
    </row>
  </sheetData>
  <mergeCells count="10">
    <mergeCell ref="L30:N30"/>
    <mergeCell ref="L31:N31"/>
    <mergeCell ref="A4:F4"/>
    <mergeCell ref="L29:N29"/>
    <mergeCell ref="A1:N1"/>
    <mergeCell ref="H4:N4"/>
    <mergeCell ref="A12:N12"/>
    <mergeCell ref="L28:N28"/>
    <mergeCell ref="A2:N2"/>
    <mergeCell ref="L27:N27"/>
  </mergeCells>
  <dataValidations count="3">
    <dataValidation type="list" sqref="D8" xr:uid="{00000000-0002-0000-0000-000000000000}">
      <formula1>"Black Oil,Volatile Oil,Gas Condensate"</formula1>
    </dataValidation>
    <dataValidation type="list" sqref="D9 K5" xr:uid="{00000000-0002-0000-0000-000001000000}">
      <formula1>"Bubble Point,Dew Point"</formula1>
    </dataValidation>
    <dataValidation type="list" sqref="B14 B15 B16 B17 B18 B19 B20 B21 B22 B23 B24 B25" xr:uid="{00000000-0002-0000-0000-000003000000}">
      <formula1>"0,1"</formula1>
    </dataValidation>
  </dataValidations>
  <pageMargins left="0.75" right="0.75" top="1" bottom="1" header="0.5" footer="0.5"/>
  <pageSetup orientation="landscape"/>
  <headerFooter>
    <oddHeader>&amp;L&amp;"arial"&amp;10&amp;K737373 ADNOC Classification: Public&amp;1#_x000D_</oddHeader>
  </headerFooter>
  <drawing r:id="rId1"/>
</worksheet>
</file>

<file path=docMetadata/LabelInfo.xml><?xml version="1.0" encoding="utf-8"?>
<clbl:labelList xmlns:clbl="http://schemas.microsoft.com/office/2020/mipLabelMetadata">
  <clbl:label id="{2c5ce59d-8065-4e55-8401-511b31f80404}" enabled="1" method="Privileged" siteId="{74892fe7-b6cb-43e7-912b-52194d3fd7c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BP_DP_QC_Final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Athif (ADNOC Technology)</cp:lastModifiedBy>
  <dcterms:created xsi:type="dcterms:W3CDTF">2026-06-01T05:46:17Z</dcterms:created>
  <dcterms:modified xsi:type="dcterms:W3CDTF">2026-06-01T05:49:35Z</dcterms:modified>
</cp:coreProperties>
</file>