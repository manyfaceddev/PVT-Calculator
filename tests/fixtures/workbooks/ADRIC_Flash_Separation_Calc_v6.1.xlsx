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dnocmpsa-my.sharepoint.com/personal/mathif_adnoc_ae/Documents/Desktop/PVT Calculation Sheet/2_Flahs, Recomb Live Oil/"/>
    </mc:Choice>
  </mc:AlternateContent>
  <xr:revisionPtr revIDLastSave="6" documentId="8_{E9FCAD04-7B04-465A-B455-8FF85F733439}" xr6:coauthVersionLast="47" xr6:coauthVersionMax="47" xr10:uidLastSave="{3E970B1B-CE74-4588-9972-A7F2CA76EB50}"/>
  <bookViews>
    <workbookView xWindow="38280" yWindow="2235" windowWidth="29040" windowHeight="15720" activeTab="2" xr2:uid="{00000000-000D-0000-FFFF-FFFF00000000}"/>
  </bookViews>
  <sheets>
    <sheet name="Volumetrics_Master" sheetId="1" r:id="rId1"/>
    <sheet name="Component_Properties" sheetId="2" r:id="rId2"/>
    <sheet name="Recombination" sheetId="3" r:id="rId3"/>
    <sheet name="Plus_Properties_Report" sheetId="4" r:id="rId4"/>
  </sheets>
  <definedNames>
    <definedName name="API_Gravity">Volumetrics_Master!$B$37</definedName>
    <definedName name="Bo">Volumetrics_Master!$B$33</definedName>
    <definedName name="GOR_cc_cc">Volumetrics_Master!$B$31</definedName>
    <definedName name="GOR_scf_bbl">Volumetrics_Master!$B$32</definedName>
    <definedName name="MW_ConventionA">Recombination!$B$21</definedName>
    <definedName name="MW_ConventionB">Volumetrics_Master!$B$99</definedName>
    <definedName name="Oil_Density_60F">Volumetrics_Master!$B$36</definedName>
    <definedName name="Shrinkage">Volumetrics_Master!$B$34</definedName>
    <definedName name="wf_gas">Recombination!$B$18</definedName>
    <definedName name="wf_oil">Recombination!$B$19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4" l="1"/>
  <c r="D76" i="3"/>
  <c r="C76" i="3"/>
  <c r="B76" i="3"/>
  <c r="D75" i="3"/>
  <c r="C75" i="3"/>
  <c r="B75" i="3"/>
  <c r="D74" i="3"/>
  <c r="C74" i="3"/>
  <c r="B74" i="3"/>
  <c r="D73" i="3"/>
  <c r="C73" i="3"/>
  <c r="B73" i="3"/>
  <c r="D72" i="3"/>
  <c r="C72" i="3"/>
  <c r="B72" i="3"/>
  <c r="D71" i="3"/>
  <c r="C71" i="3"/>
  <c r="B71" i="3"/>
  <c r="D70" i="3"/>
  <c r="C70" i="3"/>
  <c r="B70" i="3"/>
  <c r="D69" i="3"/>
  <c r="C69" i="3"/>
  <c r="B69" i="3"/>
  <c r="D68" i="3"/>
  <c r="C68" i="3"/>
  <c r="B68" i="3"/>
  <c r="D67" i="3"/>
  <c r="C67" i="3"/>
  <c r="B67" i="3"/>
  <c r="D66" i="3"/>
  <c r="C66" i="3"/>
  <c r="B66" i="3"/>
  <c r="D65" i="3"/>
  <c r="C65" i="3"/>
  <c r="B65" i="3"/>
  <c r="D64" i="3"/>
  <c r="C64" i="3"/>
  <c r="B64" i="3"/>
  <c r="D63" i="3"/>
  <c r="C63" i="3"/>
  <c r="B63" i="3"/>
  <c r="D62" i="3"/>
  <c r="C62" i="3"/>
  <c r="B62" i="3"/>
  <c r="D61" i="3"/>
  <c r="C61" i="3"/>
  <c r="B61" i="3"/>
  <c r="D60" i="3"/>
  <c r="C60" i="3"/>
  <c r="B60" i="3"/>
  <c r="D59" i="3"/>
  <c r="C59" i="3"/>
  <c r="B59" i="3"/>
  <c r="D58" i="3"/>
  <c r="C58" i="3"/>
  <c r="B58" i="3"/>
  <c r="D57" i="3"/>
  <c r="C57" i="3"/>
  <c r="B57" i="3"/>
  <c r="D56" i="3"/>
  <c r="C56" i="3"/>
  <c r="B56" i="3"/>
  <c r="D55" i="3"/>
  <c r="C55" i="3"/>
  <c r="B55" i="3"/>
  <c r="D54" i="3"/>
  <c r="C54" i="3"/>
  <c r="B54" i="3"/>
  <c r="D53" i="3"/>
  <c r="C53" i="3"/>
  <c r="B53" i="3"/>
  <c r="D52" i="3"/>
  <c r="C52" i="3"/>
  <c r="B52" i="3"/>
  <c r="D51" i="3"/>
  <c r="C51" i="3"/>
  <c r="B51" i="3"/>
  <c r="D50" i="3"/>
  <c r="C50" i="3"/>
  <c r="B50" i="3"/>
  <c r="D49" i="3"/>
  <c r="C49" i="3"/>
  <c r="B49" i="3"/>
  <c r="D48" i="3"/>
  <c r="C48" i="3"/>
  <c r="B48" i="3"/>
  <c r="D47" i="3"/>
  <c r="C47" i="3"/>
  <c r="B47" i="3"/>
  <c r="D46" i="3"/>
  <c r="C46" i="3"/>
  <c r="B46" i="3"/>
  <c r="D45" i="3"/>
  <c r="C45" i="3"/>
  <c r="B45" i="3"/>
  <c r="D44" i="3"/>
  <c r="C44" i="3"/>
  <c r="B44" i="3"/>
  <c r="D43" i="3"/>
  <c r="C43" i="3"/>
  <c r="B43" i="3"/>
  <c r="D42" i="3"/>
  <c r="C42" i="3"/>
  <c r="B42" i="3"/>
  <c r="D41" i="3"/>
  <c r="C41" i="3"/>
  <c r="B41" i="3"/>
  <c r="D40" i="3"/>
  <c r="C40" i="3"/>
  <c r="B40" i="3"/>
  <c r="D39" i="3"/>
  <c r="C39" i="3"/>
  <c r="B39" i="3"/>
  <c r="D38" i="3"/>
  <c r="C38" i="3"/>
  <c r="B38" i="3"/>
  <c r="D37" i="3"/>
  <c r="C37" i="3"/>
  <c r="B37" i="3"/>
  <c r="D36" i="3"/>
  <c r="C36" i="3"/>
  <c r="B36" i="3"/>
  <c r="D35" i="3"/>
  <c r="C35" i="3"/>
  <c r="B35" i="3"/>
  <c r="D34" i="3"/>
  <c r="C34" i="3"/>
  <c r="B34" i="3"/>
  <c r="D33" i="3"/>
  <c r="C33" i="3"/>
  <c r="B33" i="3"/>
  <c r="D32" i="3"/>
  <c r="C32" i="3"/>
  <c r="B32" i="3"/>
  <c r="D31" i="3"/>
  <c r="C31" i="3"/>
  <c r="B31" i="3"/>
  <c r="D30" i="3"/>
  <c r="C30" i="3"/>
  <c r="B30" i="3"/>
  <c r="D29" i="3"/>
  <c r="C29" i="3"/>
  <c r="B29" i="3"/>
  <c r="D28" i="3"/>
  <c r="C28" i="3"/>
  <c r="B28" i="3"/>
  <c r="D27" i="3"/>
  <c r="C27" i="3"/>
  <c r="B27" i="3"/>
  <c r="D26" i="3"/>
  <c r="C26" i="3"/>
  <c r="B26" i="3"/>
  <c r="D25" i="3"/>
  <c r="C25" i="3"/>
  <c r="B25" i="3"/>
  <c r="B15" i="3"/>
  <c r="B12" i="3"/>
  <c r="B7" i="3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E98" i="1"/>
  <c r="B98" i="1"/>
  <c r="H93" i="1"/>
  <c r="H94" i="1" s="1"/>
  <c r="G93" i="1"/>
  <c r="G94" i="1" s="1"/>
  <c r="F93" i="1"/>
  <c r="F94" i="1" s="1"/>
  <c r="E93" i="1"/>
  <c r="E94" i="1" s="1"/>
  <c r="L92" i="1"/>
  <c r="K92" i="1"/>
  <c r="J92" i="1"/>
  <c r="I92" i="1"/>
  <c r="D92" i="1"/>
  <c r="L91" i="1"/>
  <c r="H75" i="3" s="1"/>
  <c r="K91" i="1"/>
  <c r="G75" i="3" s="1"/>
  <c r="J91" i="1"/>
  <c r="F75" i="3" s="1"/>
  <c r="I91" i="1"/>
  <c r="E75" i="3" s="1"/>
  <c r="D91" i="1"/>
  <c r="L90" i="1"/>
  <c r="H74" i="3" s="1"/>
  <c r="K90" i="1"/>
  <c r="G74" i="3" s="1"/>
  <c r="J90" i="1"/>
  <c r="F74" i="3" s="1"/>
  <c r="I90" i="1"/>
  <c r="E74" i="3" s="1"/>
  <c r="D90" i="1"/>
  <c r="L89" i="1"/>
  <c r="H73" i="3" s="1"/>
  <c r="K89" i="1"/>
  <c r="G73" i="3" s="1"/>
  <c r="J89" i="1"/>
  <c r="F73" i="3" s="1"/>
  <c r="I89" i="1"/>
  <c r="E73" i="3" s="1"/>
  <c r="D89" i="1"/>
  <c r="L88" i="1"/>
  <c r="H72" i="3" s="1"/>
  <c r="K88" i="1"/>
  <c r="G72" i="3" s="1"/>
  <c r="J88" i="1"/>
  <c r="F72" i="3" s="1"/>
  <c r="I88" i="1"/>
  <c r="E72" i="3" s="1"/>
  <c r="D88" i="1"/>
  <c r="L87" i="1"/>
  <c r="H71" i="3" s="1"/>
  <c r="K87" i="1"/>
  <c r="G71" i="3" s="1"/>
  <c r="J87" i="1"/>
  <c r="F71" i="3" s="1"/>
  <c r="I87" i="1"/>
  <c r="E71" i="3" s="1"/>
  <c r="D87" i="1"/>
  <c r="L86" i="1"/>
  <c r="H70" i="3" s="1"/>
  <c r="K86" i="1"/>
  <c r="G70" i="3" s="1"/>
  <c r="J86" i="1"/>
  <c r="F70" i="3" s="1"/>
  <c r="I86" i="1"/>
  <c r="E70" i="3" s="1"/>
  <c r="D86" i="1"/>
  <c r="L85" i="1"/>
  <c r="H69" i="3" s="1"/>
  <c r="K85" i="1"/>
  <c r="G69" i="3" s="1"/>
  <c r="J85" i="1"/>
  <c r="F69" i="3" s="1"/>
  <c r="I85" i="1"/>
  <c r="E69" i="3" s="1"/>
  <c r="D85" i="1"/>
  <c r="L84" i="1"/>
  <c r="H68" i="3" s="1"/>
  <c r="K84" i="1"/>
  <c r="G68" i="3" s="1"/>
  <c r="J84" i="1"/>
  <c r="F68" i="3" s="1"/>
  <c r="I84" i="1"/>
  <c r="E68" i="3" s="1"/>
  <c r="D84" i="1"/>
  <c r="L83" i="1"/>
  <c r="H67" i="3" s="1"/>
  <c r="K83" i="1"/>
  <c r="G67" i="3" s="1"/>
  <c r="J83" i="1"/>
  <c r="F67" i="3" s="1"/>
  <c r="I83" i="1"/>
  <c r="E67" i="3" s="1"/>
  <c r="D83" i="1"/>
  <c r="L82" i="1"/>
  <c r="H66" i="3" s="1"/>
  <c r="K82" i="1"/>
  <c r="G66" i="3" s="1"/>
  <c r="J82" i="1"/>
  <c r="F66" i="3" s="1"/>
  <c r="I82" i="1"/>
  <c r="E66" i="3" s="1"/>
  <c r="D82" i="1"/>
  <c r="L81" i="1"/>
  <c r="H65" i="3" s="1"/>
  <c r="K81" i="1"/>
  <c r="G65" i="3" s="1"/>
  <c r="J81" i="1"/>
  <c r="F65" i="3" s="1"/>
  <c r="I81" i="1"/>
  <c r="E65" i="3" s="1"/>
  <c r="D81" i="1"/>
  <c r="L80" i="1"/>
  <c r="H64" i="3" s="1"/>
  <c r="K80" i="1"/>
  <c r="G64" i="3" s="1"/>
  <c r="J80" i="1"/>
  <c r="F64" i="3" s="1"/>
  <c r="I80" i="1"/>
  <c r="E64" i="3" s="1"/>
  <c r="D80" i="1"/>
  <c r="L79" i="1"/>
  <c r="H63" i="3" s="1"/>
  <c r="K79" i="1"/>
  <c r="G63" i="3" s="1"/>
  <c r="J79" i="1"/>
  <c r="F63" i="3" s="1"/>
  <c r="I79" i="1"/>
  <c r="E63" i="3" s="1"/>
  <c r="D79" i="1"/>
  <c r="L78" i="1"/>
  <c r="H62" i="3" s="1"/>
  <c r="K78" i="1"/>
  <c r="G62" i="3" s="1"/>
  <c r="J78" i="1"/>
  <c r="F62" i="3" s="1"/>
  <c r="I78" i="1"/>
  <c r="E62" i="3" s="1"/>
  <c r="D78" i="1"/>
  <c r="L77" i="1"/>
  <c r="H61" i="3" s="1"/>
  <c r="K77" i="1"/>
  <c r="G61" i="3" s="1"/>
  <c r="J77" i="1"/>
  <c r="F61" i="3" s="1"/>
  <c r="I77" i="1"/>
  <c r="E61" i="3" s="1"/>
  <c r="D77" i="1"/>
  <c r="L76" i="1"/>
  <c r="K76" i="1"/>
  <c r="J76" i="1"/>
  <c r="I76" i="1"/>
  <c r="D76" i="1"/>
  <c r="L75" i="1"/>
  <c r="H59" i="3" s="1"/>
  <c r="K75" i="1"/>
  <c r="G59" i="3" s="1"/>
  <c r="J75" i="1"/>
  <c r="F59" i="3" s="1"/>
  <c r="I75" i="1"/>
  <c r="E59" i="3" s="1"/>
  <c r="D75" i="1"/>
  <c r="L74" i="1"/>
  <c r="H58" i="3" s="1"/>
  <c r="K74" i="1"/>
  <c r="G58" i="3" s="1"/>
  <c r="J74" i="1"/>
  <c r="F58" i="3" s="1"/>
  <c r="I74" i="1"/>
  <c r="E58" i="3" s="1"/>
  <c r="D74" i="1"/>
  <c r="L73" i="1"/>
  <c r="H57" i="3" s="1"/>
  <c r="K73" i="1"/>
  <c r="G57" i="3" s="1"/>
  <c r="J73" i="1"/>
  <c r="F57" i="3" s="1"/>
  <c r="I73" i="1"/>
  <c r="E57" i="3" s="1"/>
  <c r="D73" i="1"/>
  <c r="L72" i="1"/>
  <c r="H56" i="3" s="1"/>
  <c r="K72" i="1"/>
  <c r="G56" i="3" s="1"/>
  <c r="J72" i="1"/>
  <c r="F56" i="3" s="1"/>
  <c r="I72" i="1"/>
  <c r="E56" i="3" s="1"/>
  <c r="D72" i="1"/>
  <c r="L71" i="1"/>
  <c r="H55" i="3" s="1"/>
  <c r="K71" i="1"/>
  <c r="G55" i="3" s="1"/>
  <c r="J71" i="1"/>
  <c r="F55" i="3" s="1"/>
  <c r="I71" i="1"/>
  <c r="E55" i="3" s="1"/>
  <c r="D71" i="1"/>
  <c r="L70" i="1"/>
  <c r="H54" i="3" s="1"/>
  <c r="K70" i="1"/>
  <c r="G54" i="3" s="1"/>
  <c r="J70" i="1"/>
  <c r="F54" i="3" s="1"/>
  <c r="I70" i="1"/>
  <c r="E54" i="3" s="1"/>
  <c r="D70" i="1"/>
  <c r="L69" i="1"/>
  <c r="H53" i="3" s="1"/>
  <c r="K69" i="1"/>
  <c r="G53" i="3" s="1"/>
  <c r="J69" i="1"/>
  <c r="F53" i="3" s="1"/>
  <c r="I69" i="1"/>
  <c r="E53" i="3" s="1"/>
  <c r="D69" i="1"/>
  <c r="L68" i="1"/>
  <c r="H52" i="3" s="1"/>
  <c r="K68" i="1"/>
  <c r="G52" i="3" s="1"/>
  <c r="J68" i="1"/>
  <c r="F52" i="3" s="1"/>
  <c r="I68" i="1"/>
  <c r="E52" i="3" s="1"/>
  <c r="D68" i="1"/>
  <c r="L67" i="1"/>
  <c r="K67" i="1"/>
  <c r="J67" i="1"/>
  <c r="I67" i="1"/>
  <c r="D67" i="1"/>
  <c r="L66" i="1"/>
  <c r="H50" i="3" s="1"/>
  <c r="K66" i="1"/>
  <c r="G50" i="3" s="1"/>
  <c r="J66" i="1"/>
  <c r="F50" i="3" s="1"/>
  <c r="I66" i="1"/>
  <c r="E50" i="3" s="1"/>
  <c r="D66" i="1"/>
  <c r="L65" i="1"/>
  <c r="H49" i="3" s="1"/>
  <c r="K65" i="1"/>
  <c r="G49" i="3" s="1"/>
  <c r="J65" i="1"/>
  <c r="F49" i="3" s="1"/>
  <c r="I65" i="1"/>
  <c r="E49" i="3" s="1"/>
  <c r="D65" i="1"/>
  <c r="L64" i="1"/>
  <c r="H48" i="3" s="1"/>
  <c r="K64" i="1"/>
  <c r="G48" i="3" s="1"/>
  <c r="J64" i="1"/>
  <c r="F48" i="3" s="1"/>
  <c r="I64" i="1"/>
  <c r="E48" i="3" s="1"/>
  <c r="D64" i="1"/>
  <c r="L63" i="1"/>
  <c r="H47" i="3" s="1"/>
  <c r="K63" i="1"/>
  <c r="G47" i="3" s="1"/>
  <c r="J63" i="1"/>
  <c r="F47" i="3" s="1"/>
  <c r="I63" i="1"/>
  <c r="E47" i="3" s="1"/>
  <c r="D63" i="1"/>
  <c r="L62" i="1"/>
  <c r="H46" i="3" s="1"/>
  <c r="K62" i="1"/>
  <c r="G46" i="3" s="1"/>
  <c r="J62" i="1"/>
  <c r="F46" i="3" s="1"/>
  <c r="I62" i="1"/>
  <c r="E46" i="3" s="1"/>
  <c r="D62" i="1"/>
  <c r="L61" i="1"/>
  <c r="H45" i="3" s="1"/>
  <c r="K61" i="1"/>
  <c r="G45" i="3" s="1"/>
  <c r="J61" i="1"/>
  <c r="F45" i="3" s="1"/>
  <c r="I61" i="1"/>
  <c r="E45" i="3" s="1"/>
  <c r="D61" i="1"/>
  <c r="L60" i="1"/>
  <c r="H44" i="3" s="1"/>
  <c r="K60" i="1"/>
  <c r="G44" i="3" s="1"/>
  <c r="J60" i="1"/>
  <c r="F44" i="3" s="1"/>
  <c r="I60" i="1"/>
  <c r="E44" i="3" s="1"/>
  <c r="D60" i="1"/>
  <c r="L59" i="1"/>
  <c r="H43" i="3" s="1"/>
  <c r="K59" i="1"/>
  <c r="G43" i="3" s="1"/>
  <c r="J59" i="1"/>
  <c r="F43" i="3" s="1"/>
  <c r="I59" i="1"/>
  <c r="E43" i="3" s="1"/>
  <c r="D59" i="1"/>
  <c r="L58" i="1"/>
  <c r="H42" i="3" s="1"/>
  <c r="K58" i="1"/>
  <c r="G42" i="3" s="1"/>
  <c r="J58" i="1"/>
  <c r="F42" i="3" s="1"/>
  <c r="I58" i="1"/>
  <c r="E42" i="3" s="1"/>
  <c r="D58" i="1"/>
  <c r="L57" i="1"/>
  <c r="K57" i="1"/>
  <c r="J57" i="1"/>
  <c r="I57" i="1"/>
  <c r="D57" i="1"/>
  <c r="L56" i="1"/>
  <c r="H40" i="3" s="1"/>
  <c r="K56" i="1"/>
  <c r="G40" i="3" s="1"/>
  <c r="J56" i="1"/>
  <c r="F40" i="3" s="1"/>
  <c r="I56" i="1"/>
  <c r="E40" i="3" s="1"/>
  <c r="D56" i="1"/>
  <c r="L55" i="1"/>
  <c r="H39" i="3" s="1"/>
  <c r="K55" i="1"/>
  <c r="G39" i="3" s="1"/>
  <c r="J55" i="1"/>
  <c r="F39" i="3" s="1"/>
  <c r="I55" i="1"/>
  <c r="E39" i="3" s="1"/>
  <c r="D55" i="1"/>
  <c r="L54" i="1"/>
  <c r="H38" i="3" s="1"/>
  <c r="K54" i="1"/>
  <c r="G38" i="3" s="1"/>
  <c r="J54" i="1"/>
  <c r="F38" i="3" s="1"/>
  <c r="I54" i="1"/>
  <c r="E38" i="3" s="1"/>
  <c r="D54" i="1"/>
  <c r="L53" i="1"/>
  <c r="H37" i="3" s="1"/>
  <c r="K53" i="1"/>
  <c r="G37" i="3" s="1"/>
  <c r="J53" i="1"/>
  <c r="F37" i="3" s="1"/>
  <c r="I53" i="1"/>
  <c r="E37" i="3" s="1"/>
  <c r="D53" i="1"/>
  <c r="L52" i="1"/>
  <c r="H36" i="3" s="1"/>
  <c r="K52" i="1"/>
  <c r="G36" i="3" s="1"/>
  <c r="J52" i="1"/>
  <c r="F36" i="3" s="1"/>
  <c r="I52" i="1"/>
  <c r="E36" i="3" s="1"/>
  <c r="D52" i="1"/>
  <c r="L51" i="1"/>
  <c r="H35" i="3" s="1"/>
  <c r="K51" i="1"/>
  <c r="G35" i="3" s="1"/>
  <c r="J51" i="1"/>
  <c r="F35" i="3" s="1"/>
  <c r="I51" i="1"/>
  <c r="E35" i="3" s="1"/>
  <c r="D51" i="1"/>
  <c r="L50" i="1"/>
  <c r="H34" i="3" s="1"/>
  <c r="K50" i="1"/>
  <c r="G34" i="3" s="1"/>
  <c r="K34" i="3" s="1"/>
  <c r="L34" i="3" s="1"/>
  <c r="J50" i="1"/>
  <c r="F34" i="3" s="1"/>
  <c r="I50" i="1"/>
  <c r="E34" i="3" s="1"/>
  <c r="D50" i="1"/>
  <c r="L49" i="1"/>
  <c r="H33" i="3" s="1"/>
  <c r="K49" i="1"/>
  <c r="G33" i="3" s="1"/>
  <c r="J49" i="1"/>
  <c r="F33" i="3" s="1"/>
  <c r="I49" i="1"/>
  <c r="E33" i="3" s="1"/>
  <c r="D49" i="1"/>
  <c r="L48" i="1"/>
  <c r="H32" i="3" s="1"/>
  <c r="K48" i="1"/>
  <c r="G32" i="3" s="1"/>
  <c r="J48" i="1"/>
  <c r="F32" i="3" s="1"/>
  <c r="I48" i="1"/>
  <c r="E32" i="3" s="1"/>
  <c r="D48" i="1"/>
  <c r="L47" i="1"/>
  <c r="H31" i="3" s="1"/>
  <c r="K47" i="1"/>
  <c r="G31" i="3" s="1"/>
  <c r="J47" i="1"/>
  <c r="F31" i="3" s="1"/>
  <c r="I47" i="1"/>
  <c r="E31" i="3" s="1"/>
  <c r="D47" i="1"/>
  <c r="L46" i="1"/>
  <c r="H30" i="3" s="1"/>
  <c r="K46" i="1"/>
  <c r="G30" i="3" s="1"/>
  <c r="J46" i="1"/>
  <c r="F30" i="3" s="1"/>
  <c r="I46" i="1"/>
  <c r="E30" i="3" s="1"/>
  <c r="D46" i="1"/>
  <c r="L45" i="1"/>
  <c r="H29" i="3" s="1"/>
  <c r="K45" i="1"/>
  <c r="G29" i="3" s="1"/>
  <c r="J45" i="1"/>
  <c r="F29" i="3" s="1"/>
  <c r="I45" i="1"/>
  <c r="E29" i="3" s="1"/>
  <c r="D45" i="1"/>
  <c r="L44" i="1"/>
  <c r="H28" i="3" s="1"/>
  <c r="K44" i="1"/>
  <c r="G28" i="3" s="1"/>
  <c r="K28" i="3" s="1"/>
  <c r="L28" i="3" s="1"/>
  <c r="J44" i="1"/>
  <c r="F28" i="3" s="1"/>
  <c r="I44" i="1"/>
  <c r="E28" i="3" s="1"/>
  <c r="D44" i="1"/>
  <c r="L43" i="1"/>
  <c r="H27" i="3" s="1"/>
  <c r="K43" i="1"/>
  <c r="G27" i="3" s="1"/>
  <c r="K27" i="3" s="1"/>
  <c r="L27" i="3" s="1"/>
  <c r="J43" i="1"/>
  <c r="F27" i="3" s="1"/>
  <c r="I43" i="1"/>
  <c r="E27" i="3" s="1"/>
  <c r="D43" i="1"/>
  <c r="L42" i="1"/>
  <c r="H26" i="3" s="1"/>
  <c r="K42" i="1"/>
  <c r="G26" i="3" s="1"/>
  <c r="K26" i="3" s="1"/>
  <c r="L26" i="3" s="1"/>
  <c r="J42" i="1"/>
  <c r="F26" i="3" s="1"/>
  <c r="I42" i="1"/>
  <c r="E26" i="3" s="1"/>
  <c r="D42" i="1"/>
  <c r="L41" i="1"/>
  <c r="K41" i="1"/>
  <c r="J41" i="1"/>
  <c r="I41" i="1"/>
  <c r="D41" i="1"/>
  <c r="B28" i="1"/>
  <c r="B101" i="1" s="1"/>
  <c r="B26" i="1"/>
  <c r="B25" i="1"/>
  <c r="B19" i="1"/>
  <c r="B27" i="1" s="1"/>
  <c r="B16" i="1"/>
  <c r="B13" i="1"/>
  <c r="B34" i="1" l="1"/>
  <c r="D41" i="4" s="1"/>
  <c r="B33" i="1"/>
  <c r="D40" i="4" s="1"/>
  <c r="B5" i="3"/>
  <c r="B36" i="1"/>
  <c r="B8" i="3"/>
  <c r="B31" i="1"/>
  <c r="B29" i="1"/>
  <c r="E25" i="3"/>
  <c r="I93" i="1"/>
  <c r="F25" i="3"/>
  <c r="E97" i="1"/>
  <c r="J93" i="1"/>
  <c r="G25" i="3"/>
  <c r="K93" i="1"/>
  <c r="H25" i="3"/>
  <c r="E99" i="1"/>
  <c r="L93" i="1"/>
  <c r="K29" i="3"/>
  <c r="L29" i="3" s="1"/>
  <c r="K30" i="3"/>
  <c r="L30" i="3" s="1"/>
  <c r="K31" i="3"/>
  <c r="L31" i="3" s="1"/>
  <c r="K32" i="3"/>
  <c r="L32" i="3" s="1"/>
  <c r="K33" i="3"/>
  <c r="L33" i="3" s="1"/>
  <c r="K35" i="3"/>
  <c r="L35" i="3" s="1"/>
  <c r="K36" i="3"/>
  <c r="L36" i="3" s="1"/>
  <c r="K37" i="3"/>
  <c r="L37" i="3" s="1"/>
  <c r="K38" i="3"/>
  <c r="L38" i="3" s="1"/>
  <c r="K39" i="3"/>
  <c r="L39" i="3" s="1"/>
  <c r="K40" i="3"/>
  <c r="L40" i="3" s="1"/>
  <c r="E17" i="4"/>
  <c r="E15" i="4"/>
  <c r="E41" i="3"/>
  <c r="E16" i="4"/>
  <c r="F41" i="3"/>
  <c r="D17" i="4"/>
  <c r="D15" i="4"/>
  <c r="G41" i="3"/>
  <c r="K41" i="3" s="1"/>
  <c r="L41" i="3" s="1"/>
  <c r="D16" i="4"/>
  <c r="H41" i="3"/>
  <c r="K42" i="3"/>
  <c r="L42" i="3" s="1"/>
  <c r="K43" i="3"/>
  <c r="L43" i="3" s="1"/>
  <c r="K44" i="3"/>
  <c r="L44" i="3" s="1"/>
  <c r="K45" i="3"/>
  <c r="L45" i="3" s="1"/>
  <c r="K46" i="3"/>
  <c r="L46" i="3" s="1"/>
  <c r="K47" i="3"/>
  <c r="L47" i="3" s="1"/>
  <c r="K48" i="3"/>
  <c r="L48" i="3" s="1"/>
  <c r="K49" i="3"/>
  <c r="L49" i="3" s="1"/>
  <c r="K50" i="3"/>
  <c r="L50" i="3" s="1"/>
  <c r="E22" i="4"/>
  <c r="E20" i="4"/>
  <c r="E51" i="3"/>
  <c r="E21" i="4"/>
  <c r="F51" i="3"/>
  <c r="D22" i="4"/>
  <c r="D20" i="4"/>
  <c r="G51" i="3"/>
  <c r="K51" i="3" s="1"/>
  <c r="L51" i="3" s="1"/>
  <c r="D21" i="4"/>
  <c r="H51" i="3"/>
  <c r="K52" i="3"/>
  <c r="L52" i="3" s="1"/>
  <c r="K53" i="3"/>
  <c r="L53" i="3" s="1"/>
  <c r="K54" i="3"/>
  <c r="L54" i="3" s="1"/>
  <c r="K55" i="3"/>
  <c r="L55" i="3" s="1"/>
  <c r="K56" i="3"/>
  <c r="L56" i="3" s="1"/>
  <c r="K57" i="3"/>
  <c r="L57" i="3" s="1"/>
  <c r="K58" i="3"/>
  <c r="L58" i="3" s="1"/>
  <c r="K59" i="3"/>
  <c r="L59" i="3" s="1"/>
  <c r="E27" i="4"/>
  <c r="E25" i="4"/>
  <c r="E60" i="3"/>
  <c r="E26" i="4"/>
  <c r="F60" i="3"/>
  <c r="D27" i="4"/>
  <c r="D25" i="4"/>
  <c r="G60" i="3"/>
  <c r="K60" i="3" s="1"/>
  <c r="L60" i="3" s="1"/>
  <c r="D26" i="4"/>
  <c r="H60" i="3"/>
  <c r="K61" i="3"/>
  <c r="L61" i="3" s="1"/>
  <c r="K62" i="3"/>
  <c r="L62" i="3" s="1"/>
  <c r="K63" i="3"/>
  <c r="L63" i="3" s="1"/>
  <c r="K64" i="3"/>
  <c r="L64" i="3" s="1"/>
  <c r="K65" i="3"/>
  <c r="L65" i="3" s="1"/>
  <c r="K66" i="3"/>
  <c r="L66" i="3" s="1"/>
  <c r="K67" i="3"/>
  <c r="L67" i="3" s="1"/>
  <c r="K68" i="3"/>
  <c r="L68" i="3" s="1"/>
  <c r="K69" i="3"/>
  <c r="L69" i="3" s="1"/>
  <c r="K70" i="3"/>
  <c r="L70" i="3" s="1"/>
  <c r="K71" i="3"/>
  <c r="L71" i="3" s="1"/>
  <c r="K72" i="3"/>
  <c r="L72" i="3" s="1"/>
  <c r="K73" i="3"/>
  <c r="L73" i="3" s="1"/>
  <c r="K74" i="3"/>
  <c r="L74" i="3" s="1"/>
  <c r="K75" i="3"/>
  <c r="L75" i="3" s="1"/>
  <c r="E32" i="4"/>
  <c r="E30" i="4"/>
  <c r="E76" i="3"/>
  <c r="E33" i="4"/>
  <c r="E31" i="4"/>
  <c r="F76" i="3"/>
  <c r="D32" i="4"/>
  <c r="D30" i="4"/>
  <c r="G76" i="3"/>
  <c r="K76" i="3" s="1"/>
  <c r="L76" i="3" s="1"/>
  <c r="D33" i="4"/>
  <c r="D31" i="4"/>
  <c r="H76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H77" i="3" l="1"/>
  <c r="G77" i="3"/>
  <c r="K25" i="3"/>
  <c r="L25" i="3" s="1"/>
  <c r="F77" i="3"/>
  <c r="E77" i="3"/>
  <c r="B6" i="3"/>
  <c r="B18" i="3" s="1"/>
  <c r="B35" i="1"/>
  <c r="D38" i="4"/>
  <c r="B9" i="3"/>
  <c r="B32" i="1"/>
  <c r="D42" i="4"/>
  <c r="E8" i="4"/>
  <c r="B11" i="3"/>
  <c r="B100" i="1"/>
  <c r="B37" i="1"/>
  <c r="B20" i="3"/>
  <c r="D43" i="4" l="1"/>
  <c r="E9" i="4"/>
  <c r="E100" i="1"/>
  <c r="D39" i="4"/>
  <c r="B10" i="3"/>
  <c r="D48" i="4"/>
  <c r="B19" i="3"/>
  <c r="D49" i="4" l="1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F26" i="4" s="1"/>
  <c r="I59" i="3"/>
  <c r="I58" i="3"/>
  <c r="I57" i="3"/>
  <c r="I56" i="3"/>
  <c r="I55" i="3"/>
  <c r="I54" i="3"/>
  <c r="I53" i="3"/>
  <c r="I52" i="3"/>
  <c r="I51" i="3"/>
  <c r="F21" i="4" s="1"/>
  <c r="I50" i="3"/>
  <c r="I49" i="3"/>
  <c r="I48" i="3"/>
  <c r="I47" i="3"/>
  <c r="I46" i="3"/>
  <c r="I45" i="3"/>
  <c r="I44" i="3"/>
  <c r="I43" i="3"/>
  <c r="I42" i="3"/>
  <c r="I41" i="3"/>
  <c r="F16" i="4" s="1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77" i="3" l="1"/>
  <c r="I78" i="3" s="1"/>
  <c r="B21" i="3"/>
  <c r="F33" i="4"/>
  <c r="F31" i="4"/>
  <c r="D47" i="4" l="1"/>
  <c r="D7" i="4"/>
  <c r="F28" i="4"/>
  <c r="E28" i="4"/>
  <c r="D28" i="4"/>
  <c r="F23" i="4"/>
  <c r="E23" i="4"/>
  <c r="D23" i="4"/>
  <c r="F18" i="4"/>
  <c r="E18" i="4"/>
  <c r="D18" i="4"/>
  <c r="D8" i="4"/>
  <c r="J76" i="3"/>
  <c r="F30" i="4"/>
  <c r="F32" i="4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F25" i="4"/>
  <c r="F27" i="4"/>
  <c r="J59" i="3"/>
  <c r="J58" i="3"/>
  <c r="J57" i="3"/>
  <c r="J56" i="3"/>
  <c r="J55" i="3"/>
  <c r="J54" i="3"/>
  <c r="J53" i="3"/>
  <c r="J52" i="3"/>
  <c r="J51" i="3"/>
  <c r="F20" i="4"/>
  <c r="F22" i="4"/>
  <c r="J50" i="3"/>
  <c r="J49" i="3"/>
  <c r="J48" i="3"/>
  <c r="J47" i="3"/>
  <c r="J46" i="3"/>
  <c r="J45" i="3"/>
  <c r="J44" i="3"/>
  <c r="J43" i="3"/>
  <c r="J42" i="3"/>
  <c r="J41" i="3"/>
  <c r="F15" i="4"/>
  <c r="F17" i="4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77" i="3"/>
  <c r="J78" i="3"/>
  <c r="B22" i="3"/>
  <c r="B99" i="1"/>
  <c r="E102" i="1"/>
  <c r="E7" i="4"/>
  <c r="D46" i="4"/>
  <c r="B97" i="1"/>
  <c r="E101" i="1"/>
  <c r="B102" i="1"/>
  <c r="D45" i="4"/>
</calcChain>
</file>

<file path=xl/sharedStrings.xml><?xml version="1.0" encoding="utf-8"?>
<sst xmlns="http://schemas.openxmlformats.org/spreadsheetml/2006/main" count="417" uniqueCount="266">
  <si>
    <t>ATMOSPHERIC FLASH SEPARATION - WATER PUMP METHOD (v6.1)</t>
  </si>
  <si>
    <t>Master input page. Yellow = entries. All calcs link from here to Component_Properties, Recombination, Plus_Properties_Report.</t>
  </si>
  <si>
    <t>BLOCK A - PROJECT &amp; SAMPLE INFORMATION</t>
  </si>
  <si>
    <t>Client</t>
  </si>
  <si>
    <t>ADNOC Onshore</t>
  </si>
  <si>
    <t>Reservoir Temperature (F)</t>
  </si>
  <si>
    <t>Sample ID</t>
  </si>
  <si>
    <t>SA-372</t>
  </si>
  <si>
    <t>Well / Field</t>
  </si>
  <si>
    <t>WELL-X / Upper Zakum</t>
  </si>
  <si>
    <t>Reservoir Pressure (psig)</t>
  </si>
  <si>
    <t>Chamber / Cylinder</t>
  </si>
  <si>
    <t>RF1168636</t>
  </si>
  <si>
    <t>Sampling Depth (MD ft)</t>
  </si>
  <si>
    <t>Saturation Pressure (psig)</t>
  </si>
  <si>
    <t>Analyst</t>
  </si>
  <si>
    <t>M. Athif</t>
  </si>
  <si>
    <t>Sampling Date</t>
  </si>
  <si>
    <t>2026-04-12</t>
  </si>
  <si>
    <t>Fluid Type</t>
  </si>
  <si>
    <t>Black Oil</t>
  </si>
  <si>
    <t>Project No.</t>
  </si>
  <si>
    <t>ADRIC-PVT-2026-014</t>
  </si>
  <si>
    <t>BLOCK B - VOLUMETRIC MEASUREMENTS (Enter in yellow)</t>
  </si>
  <si>
    <t>Pump constant</t>
  </si>
  <si>
    <t>Volume correction factor (VCF)</t>
  </si>
  <si>
    <t>Initial pump reading (cc)</t>
  </si>
  <si>
    <t>Final pump reading (cc)</t>
  </si>
  <si>
    <t>V_press (cc, computed)</t>
  </si>
  <si>
    <t>Stock tank oil volume V_sto (cc)</t>
  </si>
  <si>
    <t>Oil tare weight (g)</t>
  </si>
  <si>
    <t>Final oil + tare weight (g)</t>
  </si>
  <si>
    <t>m_oil (g, computed)</t>
  </si>
  <si>
    <t>Gasometer factor</t>
  </si>
  <si>
    <t>Barometric pressure (mbar)</t>
  </si>
  <si>
    <t>Initial gasometer reading (cc)</t>
  </si>
  <si>
    <t>Final gasometer reading (cc)</t>
  </si>
  <si>
    <t>V_meas gas (cc, computed)</t>
  </si>
  <si>
    <t>Gas temperature (C)</t>
  </si>
  <si>
    <t>Back pressure (mbar)</t>
  </si>
  <si>
    <t>Measured gas abs. pressure (mbar)</t>
  </si>
  <si>
    <t>Gas gravity (Air=1)</t>
  </si>
  <si>
    <t>Air density @ base (g/cc)</t>
  </si>
  <si>
    <t>BLOCK C - CALCULATED PROPERTIES (Auto, PURPLE = key results)</t>
  </si>
  <si>
    <t>Base pressure P_base (mbar)</t>
  </si>
  <si>
    <t>Base temperature T_base (K, 60F)</t>
  </si>
  <si>
    <t>Measured gas T (K)</t>
  </si>
  <si>
    <t>Standard pressure (mbar)</t>
  </si>
  <si>
    <t>V_gas @ base (cc)</t>
  </si>
  <si>
    <t>Gas density @ base (g/cc)</t>
  </si>
  <si>
    <t>Gas mass m_gas (g)</t>
  </si>
  <si>
    <t>GOR (cc/cc)</t>
  </si>
  <si>
    <t>GOR (scf/bbl)</t>
  </si>
  <si>
    <t>Formation Volume Factor Bo</t>
  </si>
  <si>
    <t>Shrinkage factor (V_sto/V_press)</t>
  </si>
  <si>
    <t>Gas/Oil weight ratio (g/g)</t>
  </si>
  <si>
    <t>Oil density @ 60F (g/cc)</t>
  </si>
  <si>
    <t>API gravity</t>
  </si>
  <si>
    <t>BLOCK D - GC COMPOSITIONS (Enter Mol% AND Wt% for Flashed Gas and Flashed Oil)</t>
  </si>
  <si>
    <t>#</t>
  </si>
  <si>
    <t>Code</t>
  </si>
  <si>
    <t>Component</t>
  </si>
  <si>
    <t>MW (KF)</t>
  </si>
  <si>
    <t>Gas Mol% (INPUT)</t>
  </si>
  <si>
    <t>Gas Wt% (INPUT)</t>
  </si>
  <si>
    <t>Oil Mol% (INPUT)</t>
  </si>
  <si>
    <t>Oil Wt% (INPUT)</t>
  </si>
  <si>
    <t>Norm Gas Mol%</t>
  </si>
  <si>
    <t>Norm Gas Wt%</t>
  </si>
  <si>
    <t>Norm Oil Mol%</t>
  </si>
  <si>
    <t>Norm Oil Wt%</t>
  </si>
  <si>
    <t>H2</t>
  </si>
  <si>
    <t>Hydrogen</t>
  </si>
  <si>
    <t>H2S</t>
  </si>
  <si>
    <t>Hydrogen Sulfide</t>
  </si>
  <si>
    <t>CO2</t>
  </si>
  <si>
    <t>Carbon Dioxide</t>
  </si>
  <si>
    <t>N2</t>
  </si>
  <si>
    <t>Nitrogen</t>
  </si>
  <si>
    <t>C1</t>
  </si>
  <si>
    <t>Methane</t>
  </si>
  <si>
    <t>C2</t>
  </si>
  <si>
    <t>Ethane</t>
  </si>
  <si>
    <t>C3</t>
  </si>
  <si>
    <t>Propane</t>
  </si>
  <si>
    <t>iC4</t>
  </si>
  <si>
    <t>i-Butane</t>
  </si>
  <si>
    <t>nC4</t>
  </si>
  <si>
    <t>n-Butane</t>
  </si>
  <si>
    <t>NeoC5</t>
  </si>
  <si>
    <t>Neo-Pentane</t>
  </si>
  <si>
    <t>iC5</t>
  </si>
  <si>
    <t>i-Pentane</t>
  </si>
  <si>
    <t>nC5</t>
  </si>
  <si>
    <t>n-Pentane</t>
  </si>
  <si>
    <t>C6</t>
  </si>
  <si>
    <t>Hexanes</t>
  </si>
  <si>
    <t>MCP</t>
  </si>
  <si>
    <t>M-C-Pentane</t>
  </si>
  <si>
    <t>Benzene</t>
  </si>
  <si>
    <t>Cyclohex</t>
  </si>
  <si>
    <t>Cyclohexane</t>
  </si>
  <si>
    <t>C7</t>
  </si>
  <si>
    <t>Heptanes</t>
  </si>
  <si>
    <t>MCH</t>
  </si>
  <si>
    <t>M-C-Hexane</t>
  </si>
  <si>
    <t>Toluene</t>
  </si>
  <si>
    <t>C8</t>
  </si>
  <si>
    <t>Octanes</t>
  </si>
  <si>
    <t>EBenzene</t>
  </si>
  <si>
    <t>E-Benzene</t>
  </si>
  <si>
    <t>MPXylenes</t>
  </si>
  <si>
    <t>M/P-Xylenes</t>
  </si>
  <si>
    <t>OXylene</t>
  </si>
  <si>
    <t>O-Xylene</t>
  </si>
  <si>
    <t>C9</t>
  </si>
  <si>
    <t>Nonanes</t>
  </si>
  <si>
    <t>TMB124</t>
  </si>
  <si>
    <t>1,2,4-Trimethylbenzene</t>
  </si>
  <si>
    <t>C10</t>
  </si>
  <si>
    <t>Decanes</t>
  </si>
  <si>
    <t>C11</t>
  </si>
  <si>
    <t>Undecanes</t>
  </si>
  <si>
    <t>C12</t>
  </si>
  <si>
    <t>Dodecanes</t>
  </si>
  <si>
    <t>C13</t>
  </si>
  <si>
    <t>Tridecanes</t>
  </si>
  <si>
    <t>C14</t>
  </si>
  <si>
    <t>Tetradecanes</t>
  </si>
  <si>
    <t>C15</t>
  </si>
  <si>
    <t>Pentadecanes</t>
  </si>
  <si>
    <t>C16</t>
  </si>
  <si>
    <t>Hexadecanes</t>
  </si>
  <si>
    <t>C17</t>
  </si>
  <si>
    <t>Heptadecanes</t>
  </si>
  <si>
    <t>C18</t>
  </si>
  <si>
    <t>Octadecanes</t>
  </si>
  <si>
    <t>C19</t>
  </si>
  <si>
    <t>Nonadecanes</t>
  </si>
  <si>
    <t>C20</t>
  </si>
  <si>
    <t>Eicosanes</t>
  </si>
  <si>
    <t>C21</t>
  </si>
  <si>
    <t>Heneicosanes</t>
  </si>
  <si>
    <t>C22</t>
  </si>
  <si>
    <t>Docosanes</t>
  </si>
  <si>
    <t>C23</t>
  </si>
  <si>
    <t>Tricosanes</t>
  </si>
  <si>
    <t>C24</t>
  </si>
  <si>
    <t>Tetracosanes</t>
  </si>
  <si>
    <t>C25</t>
  </si>
  <si>
    <t>Pentacosanes</t>
  </si>
  <si>
    <t>C26</t>
  </si>
  <si>
    <t>Hexacosanes</t>
  </si>
  <si>
    <t>C27</t>
  </si>
  <si>
    <t>Heptacosanes</t>
  </si>
  <si>
    <t>C28</t>
  </si>
  <si>
    <t>Octacosanes</t>
  </si>
  <si>
    <t>C29</t>
  </si>
  <si>
    <t>Nonacosanes</t>
  </si>
  <si>
    <t>C30</t>
  </si>
  <si>
    <t>Triacontanes</t>
  </si>
  <si>
    <t>C31</t>
  </si>
  <si>
    <t>Hentriacontanes</t>
  </si>
  <si>
    <t>C32</t>
  </si>
  <si>
    <t>Dotriacontanes</t>
  </si>
  <si>
    <t>C33</t>
  </si>
  <si>
    <t>Tritriacontanes</t>
  </si>
  <si>
    <t>C34</t>
  </si>
  <si>
    <t>Tetratriacontanes</t>
  </si>
  <si>
    <t>C35</t>
  </si>
  <si>
    <t>Pentatriacontanes</t>
  </si>
  <si>
    <t>C36+</t>
  </si>
  <si>
    <t>Hexatriacontanes plus</t>
  </si>
  <si>
    <t>TOTAL</t>
  </si>
  <si>
    <t>Total QC</t>
  </si>
  <si>
    <t>BLOCK E - STREAM PROPERTIES (from compositions &amp; lab measurements)</t>
  </si>
  <si>
    <t>Calc'd Gas MW from Mol% (S y*MW/100)</t>
  </si>
  <si>
    <t>Calc'd Gas MW from Wt%</t>
  </si>
  <si>
    <t>Measured Gas Gravity (Air=1)</t>
  </si>
  <si>
    <t>Calc'd Gas MW from Gravity (g*28.964)</t>
  </si>
  <si>
    <t>Calc'd Oil MW from Mol% (S x*MW/100)</t>
  </si>
  <si>
    <t>Calc'd Oil MW from Wt%</t>
  </si>
  <si>
    <t>Measured Oil Density @ 60F (g/cc)</t>
  </si>
  <si>
    <t>Measured API</t>
  </si>
  <si>
    <t>Gas Density @ base (g/cc)</t>
  </si>
  <si>
    <t>Gas Density @ STC from MW (g/cc)</t>
  </si>
  <si>
    <t>MW consistency Gas (%)</t>
  </si>
  <si>
    <t>MW consistency Oil (%)</t>
  </si>
  <si>
    <t>COMPONENT PROPERTIES - KATZ-FIROOZABADI STANDARDS (52 components to C36+)</t>
  </si>
  <si>
    <t>Reference values from KF/GPA 2145. All properties locked (grey). Molar volume = MW/Density (cc/gmol).</t>
  </si>
  <si>
    <t>Name</t>
  </si>
  <si>
    <t>MW (g/mol)</t>
  </si>
  <si>
    <t>Density (g/cc)</t>
  </si>
  <si>
    <t>Tb (R)</t>
  </si>
  <si>
    <t>Pc (psia)</t>
  </si>
  <si>
    <t>Tc (R)</t>
  </si>
  <si>
    <t>Molar Vol (cc/gmol)</t>
  </si>
  <si>
    <t>FLASH RECOMBINATION - RESERVOIR FLUID COMPOSITION FROM FLASH GAS + FLASH OIL</t>
  </si>
  <si>
    <t>Live-fluid technique. Mass-basis recombination: wf_gas = m_gas/(m_gas+m_oil). Mole% back-calc from wt%/MW.</t>
  </si>
  <si>
    <t>BLOCK A - LINKED FROM VOLUMETRICS_MASTER</t>
  </si>
  <si>
    <t>m_oil (g)</t>
  </si>
  <si>
    <t>m_gas (g)</t>
  </si>
  <si>
    <t>V_sto (cc)</t>
  </si>
  <si>
    <t>Oil density measured (g/cc)</t>
  </si>
  <si>
    <t>Flash Pressure (psia)</t>
  </si>
  <si>
    <t>Flash Temperature (F)</t>
  </si>
  <si>
    <t>Flash T (R) = T_F + 459.67</t>
  </si>
  <si>
    <t>BLOCK B - MASS FRACTION CALCULATIONS</t>
  </si>
  <si>
    <t>wf_gas (gas mass fraction)</t>
  </si>
  <si>
    <t>wf_oil (oil mass fraction)</t>
  </si>
  <si>
    <t>Whole sample mass (g)</t>
  </si>
  <si>
    <t>Whole Sample MW (from recomb Wt%)</t>
  </si>
  <si>
    <t>Whole Sample MW (from recomb Mol%)</t>
  </si>
  <si>
    <t>BLOCK C - WELLSTREAM COMPOSITION (Recombined) + K-VALUE VALIDATION</t>
  </si>
  <si>
    <t>MW</t>
  </si>
  <si>
    <t>Gas Norm Mol%</t>
  </si>
  <si>
    <t>Gas Norm Wt%</t>
  </si>
  <si>
    <t>Oil Norm Mol%</t>
  </si>
  <si>
    <t>Oil Norm Wt%</t>
  </si>
  <si>
    <t>Recomb Wt%</t>
  </si>
  <si>
    <t>Recomb Mol%</t>
  </si>
  <si>
    <t>K = y/x</t>
  </si>
  <si>
    <t>log10(K*P)</t>
  </si>
  <si>
    <t>Hoffman F</t>
  </si>
  <si>
    <t>Recomb Total QC</t>
  </si>
  <si>
    <t>PLUS-FRACTION PROPERTIES REPORT - C7+, C11+, C20+, C36+</t>
  </si>
  <si>
    <t>Two whole-sample conventions shown. Cut properties are on Recombined Reservoir Fluid basis.</t>
  </si>
  <si>
    <t>WHOLE SAMPLE PROPERTIES - TWO CONVENTIONS</t>
  </si>
  <si>
    <t>Convention A = Recombined Reservoir Fluid (gas + oil back together, mass-balance correct). Convention B = Flashed Liquid / Stock Tank Oil (gas removed, matches client-report labeling).</t>
  </si>
  <si>
    <t>Property</t>
  </si>
  <si>
    <t>Unit</t>
  </si>
  <si>
    <t>Convention A: Recombined Reservoir Fluid</t>
  </si>
  <si>
    <t>Convention B: Flashed Liquid (STO)</t>
  </si>
  <si>
    <t>Notes</t>
  </si>
  <si>
    <t>Average Molecular Weight</t>
  </si>
  <si>
    <t>g/mol</t>
  </si>
  <si>
    <t>A: 100/S(w/MW). B: Flashed Liquid MW.</t>
  </si>
  <si>
    <t>Density @ 60 F</t>
  </si>
  <si>
    <t>g/cc</t>
  </si>
  <si>
    <t>A: mixture from Recomb Wt%. B: measured lab.</t>
  </si>
  <si>
    <t>API Gravity (from Convention B density)</t>
  </si>
  <si>
    <t>deg</t>
  </si>
  <si>
    <t>-</t>
  </si>
  <si>
    <t>141.5/rho - 131.5 (STO)</t>
  </si>
  <si>
    <t>PHYSICS NOTE: Convention A (Recombined ~133.75) = total mass of gas + oil / total moles = mass-balance correct.  Convention B (Flashed Liquid ~192.98) = STO alone after the gas is removed by atmospheric flash.  Some lab reports label Convention B as 'Whole Sample' - this is a labeling convention, not a math error.  Cut properties (C7+, C11+, C20+, C36+) below are computed on Convention A (Recombined) basis - you can verify each cut MW is HIGHER than the whole (133.75), as physically expected.</t>
  </si>
  <si>
    <t>CUTS SUMMARY (Recombined Reservoir Fluid basis - Convention A)</t>
  </si>
  <si>
    <t>Cut</t>
  </si>
  <si>
    <t>Flashed Liquid</t>
  </si>
  <si>
    <t>Flashed Gas</t>
  </si>
  <si>
    <t>Recombined (Convention A)</t>
  </si>
  <si>
    <t>C7+</t>
  </si>
  <si>
    <t>Mol%</t>
  </si>
  <si>
    <t>mol%</t>
  </si>
  <si>
    <t>Wt%</t>
  </si>
  <si>
    <t>wt%</t>
  </si>
  <si>
    <t>Density</t>
  </si>
  <si>
    <t>C11+</t>
  </si>
  <si>
    <t>C20+</t>
  </si>
  <si>
    <t>KEY DELIVERABLES (Linked from other sheets)</t>
  </si>
  <si>
    <t>Shrinkage factor</t>
  </si>
  <si>
    <t>Oil density @ 60F (g/cc, measured)</t>
  </si>
  <si>
    <t>Gas MW (from Mol%)</t>
  </si>
  <si>
    <t>Oil MW (from Mol%) - Convention B</t>
  </si>
  <si>
    <t>Whole Sample MW (Convention A)</t>
  </si>
  <si>
    <t>wf_gas (mass fraction)</t>
  </si>
  <si>
    <t>wf_oil (mass fraction)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</si>
</sst>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00"/>
    <numFmt numFmtId="166" formatCode="0.000"/>
    <numFmt numFmtId="167" formatCode="0.0"/>
    <numFmt numFmtId="168" formatCode="0.000000"/>
  </numFmts>
  <fonts count="17" x14ac:knownFonts="1">
    <font>
      <sz val="11"/>
      <color theme="1"/>
      <name val="Calibri"/>
      <family val="2"/>
      <scheme val="minor"/>
    </font>
    <font>
      <b/>
      <sz val="14"/>
      <color rgb="FF003C71"/>
      <name val="Calibri"/>
    </font>
    <font>
      <i/>
      <sz val="9"/>
      <color rgb="FF5A6470"/>
      <name val="Calibri"/>
    </font>
    <font>
      <b/>
      <sz val="12"/>
      <color rgb="FFFFFFFF"/>
      <name val="Calibri"/>
    </font>
    <font>
      <b/>
      <sz val="11"/>
      <color rgb="FF1A2230"/>
      <name val="Calibri"/>
    </font>
    <font>
      <b/>
      <sz val="11"/>
      <color rgb="FF0033A0"/>
      <name val="Calibri"/>
    </font>
    <font>
      <sz val="11"/>
      <color rgb="FF000000"/>
      <name val="Calibri"/>
    </font>
    <font>
      <i/>
      <sz val="11"/>
      <color rgb="FF333333"/>
      <name val="Calibri"/>
    </font>
    <font>
      <b/>
      <sz val="11"/>
      <color rgb="FF4B0082"/>
      <name val="Calibri"/>
    </font>
    <font>
      <b/>
      <sz val="12"/>
      <color rgb="FF4B0082"/>
      <name val="Calibri"/>
    </font>
    <font>
      <i/>
      <sz val="11"/>
      <color rgb="FF000000"/>
      <name val="Calibri"/>
    </font>
    <font>
      <b/>
      <sz val="11"/>
      <color rgb="FF003C71"/>
      <name val="Calibri"/>
    </font>
    <font>
      <b/>
      <sz val="12"/>
      <color rgb="FF003C71"/>
      <name val="Calibri"/>
    </font>
    <font>
      <i/>
      <sz val="10"/>
      <color rgb="FF1A2230"/>
      <name val="Calibri"/>
    </font>
    <font>
      <b/>
      <sz val="12"/>
      <color rgb="FFB45309"/>
      <name val="Calibri"/>
    </font>
    <font>
      <i/>
      <sz val="10"/>
      <color rgb="FF5A6470"/>
      <name val="Calibri"/>
    </font>
    <font>
      <b/>
      <sz val="13"/>
      <color rgb="FF003C7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4"/>
      </patternFill>
    </fill>
    <fill>
      <patternFill patternType="solid">
        <fgColor rgb="FFF2F4F7"/>
      </patternFill>
    </fill>
    <fill>
      <patternFill patternType="solid">
        <fgColor rgb="FFFFF9D6"/>
      </patternFill>
    </fill>
    <fill>
      <patternFill patternType="solid">
        <fgColor rgb="FFEEEEEE"/>
      </patternFill>
    </fill>
    <fill>
      <patternFill patternType="solid">
        <fgColor rgb="FFEDE4F7"/>
      </patternFill>
    </fill>
    <fill>
      <patternFill patternType="solid">
        <fgColor rgb="FFE1D5F5"/>
      </patternFill>
    </fill>
    <fill>
      <patternFill patternType="solid">
        <fgColor rgb="FFEAF1FA"/>
      </patternFill>
    </fill>
    <fill>
      <patternFill patternType="solid">
        <fgColor rgb="FFFFE9C7"/>
      </patternFill>
    </fill>
    <fill>
      <patternFill patternType="solid">
        <fgColor rgb="FFFFFBEA"/>
      </patternFill>
    </fill>
    <fill>
      <patternFill patternType="solid">
        <fgColor rgb="FFF2E8FC"/>
      </patternFill>
    </fill>
    <fill>
      <patternFill patternType="solid">
        <fgColor rgb="FFE8F5E9"/>
      </patternFill>
    </fill>
    <fill>
      <patternFill patternType="solid">
        <fgColor rgb="FFFFF3E0"/>
      </patternFill>
    </fill>
  </fills>
  <borders count="4">
    <border>
      <left/>
      <right/>
      <top/>
      <bottom/>
      <diagonal/>
    </border>
    <border>
      <left style="thin">
        <color rgb="FFC9D1DB"/>
      </left>
      <right style="thin">
        <color rgb="FFC9D1DB"/>
      </right>
      <top style="thin">
        <color rgb="FFC9D1DB"/>
      </top>
      <bottom style="thin">
        <color rgb="FFC9D1DB"/>
      </bottom>
      <diagonal/>
    </border>
    <border>
      <left style="medium">
        <color rgb="FF6A1B9A"/>
      </left>
      <right style="medium">
        <color rgb="FF6A1B9A"/>
      </right>
      <top style="medium">
        <color rgb="FF6A1B9A"/>
      </top>
      <bottom style="medium">
        <color rgb="FF6A1B9A"/>
      </bottom>
      <diagonal/>
    </border>
    <border>
      <left style="medium">
        <color rgb="FFE08E0B"/>
      </left>
      <right style="medium">
        <color rgb="FFE08E0B"/>
      </right>
      <top style="medium">
        <color rgb="FFE08E0B"/>
      </top>
      <bottom style="medium">
        <color rgb="FFE08E0B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right" vertical="center" wrapText="1"/>
    </xf>
    <xf numFmtId="1" fontId="5" fillId="5" borderId="1" xfId="0" applyNumberFormat="1" applyFont="1" applyFill="1" applyBorder="1" applyAlignment="1">
      <alignment horizontal="right" vertical="center" wrapText="1"/>
    </xf>
    <xf numFmtId="164" fontId="5" fillId="5" borderId="1" xfId="0" applyNumberFormat="1" applyFont="1" applyFill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165" fontId="5" fillId="5" borderId="1" xfId="0" applyNumberFormat="1" applyFont="1" applyFill="1" applyBorder="1" applyAlignment="1">
      <alignment horizontal="right" vertical="center" wrapText="1"/>
    </xf>
    <xf numFmtId="2" fontId="6" fillId="0" borderId="1" xfId="0" applyNumberFormat="1" applyFont="1" applyBorder="1" applyAlignment="1">
      <alignment horizontal="right" vertical="center" wrapText="1"/>
    </xf>
    <xf numFmtId="164" fontId="7" fillId="6" borderId="1" xfId="0" applyNumberFormat="1" applyFont="1" applyFill="1" applyBorder="1" applyAlignment="1">
      <alignment horizontal="right" vertical="center" wrapText="1"/>
    </xf>
    <xf numFmtId="2" fontId="7" fillId="6" borderId="1" xfId="0" applyNumberFormat="1" applyFont="1" applyFill="1" applyBorder="1" applyAlignment="1">
      <alignment horizontal="right" vertical="center" wrapText="1"/>
    </xf>
    <xf numFmtId="165" fontId="6" fillId="0" borderId="1" xfId="0" applyNumberFormat="1" applyFont="1" applyBorder="1" applyAlignment="1">
      <alignment horizontal="right" vertical="center" wrapText="1"/>
    </xf>
    <xf numFmtId="0" fontId="8" fillId="7" borderId="2" xfId="0" applyFont="1" applyFill="1" applyBorder="1" applyAlignment="1">
      <alignment horizontal="left" vertical="center" wrapText="1"/>
    </xf>
    <xf numFmtId="164" fontId="9" fillId="8" borderId="2" xfId="0" applyNumberFormat="1" applyFont="1" applyFill="1" applyBorder="1" applyAlignment="1">
      <alignment horizontal="center" vertical="center" wrapText="1"/>
    </xf>
    <xf numFmtId="2" fontId="9" fillId="8" borderId="2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6" fontId="10" fillId="9" borderId="1" xfId="0" applyNumberFormat="1" applyFont="1" applyFill="1" applyBorder="1" applyAlignment="1">
      <alignment horizontal="right" vertical="center" wrapText="1"/>
    </xf>
    <xf numFmtId="0" fontId="11" fillId="4" borderId="1" xfId="0" applyFont="1" applyFill="1" applyBorder="1" applyAlignment="1">
      <alignment horizontal="center" vertical="center" wrapText="1"/>
    </xf>
    <xf numFmtId="164" fontId="11" fillId="4" borderId="1" xfId="0" applyNumberFormat="1" applyFont="1" applyFill="1" applyBorder="1" applyAlignment="1">
      <alignment horizontal="right" vertical="center" wrapText="1"/>
    </xf>
    <xf numFmtId="164" fontId="10" fillId="9" borderId="1" xfId="0" applyNumberFormat="1" applyFont="1" applyFill="1" applyBorder="1" applyAlignment="1">
      <alignment horizontal="right" vertical="center" wrapText="1"/>
    </xf>
    <xf numFmtId="2" fontId="10" fillId="9" borderId="1" xfId="0" applyNumberFormat="1" applyFont="1" applyFill="1" applyBorder="1" applyAlignment="1">
      <alignment horizontal="right" vertical="center" wrapText="1"/>
    </xf>
    <xf numFmtId="165" fontId="10" fillId="9" borderId="1" xfId="0" applyNumberFormat="1" applyFont="1" applyFill="1" applyBorder="1" applyAlignment="1">
      <alignment horizontal="right" vertical="center" wrapText="1"/>
    </xf>
    <xf numFmtId="166" fontId="7" fillId="6" borderId="1" xfId="0" applyNumberFormat="1" applyFont="1" applyFill="1" applyBorder="1" applyAlignment="1">
      <alignment horizontal="right" vertical="center" wrapText="1"/>
    </xf>
    <xf numFmtId="167" fontId="7" fillId="6" borderId="1" xfId="0" applyNumberFormat="1" applyFont="1" applyFill="1" applyBorder="1" applyAlignment="1">
      <alignment horizontal="right" vertical="center" wrapText="1"/>
    </xf>
    <xf numFmtId="167" fontId="5" fillId="5" borderId="1" xfId="0" applyNumberFormat="1" applyFont="1" applyFill="1" applyBorder="1" applyAlignment="1">
      <alignment horizontal="right" vertical="center" wrapText="1"/>
    </xf>
    <xf numFmtId="167" fontId="6" fillId="0" borderId="1" xfId="0" applyNumberFormat="1" applyFont="1" applyBorder="1" applyAlignment="1">
      <alignment horizontal="right" vertical="center" wrapText="1"/>
    </xf>
    <xf numFmtId="168" fontId="6" fillId="0" borderId="1" xfId="0" applyNumberFormat="1" applyFont="1" applyBorder="1" applyAlignment="1">
      <alignment horizontal="righ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2" fontId="14" fillId="10" borderId="3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14" fillId="10" borderId="3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left" vertical="center" wrapText="1"/>
    </xf>
    <xf numFmtId="164" fontId="10" fillId="9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8" fontId="10" fillId="9" borderId="1" xfId="0" applyNumberFormat="1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2" fontId="10" fillId="9" borderId="1" xfId="0" applyNumberFormat="1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Hoffman-Crump K-Value Plot (Flash Equilibrium QC)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K-value data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Recombination!$M$25:$M$76</c:f>
              <c:numCache>
                <c:formatCode>0.0000</c:formatCode>
                <c:ptCount val="52"/>
                <c:pt idx="0">
                  <c:v>2.6917712129712141</c:v>
                </c:pt>
                <c:pt idx="1">
                  <c:v>1.189020816432889</c:v>
                </c:pt>
                <c:pt idx="2">
                  <c:v>1.6851699143307011</c:v>
                </c:pt>
                <c:pt idx="3">
                  <c:v>2.8861486576311846</c:v>
                </c:pt>
                <c:pt idx="4">
                  <c:v>2.4506498450984204</c:v>
                </c:pt>
                <c:pt idx="5">
                  <c:v>1.5337844518300516</c:v>
                </c:pt>
                <c:pt idx="6">
                  <c:v>0.86327995633371801</c:v>
                </c:pt>
                <c:pt idx="7">
                  <c:v>0.40912766738336748</c:v>
                </c:pt>
                <c:pt idx="8">
                  <c:v>0.24446910665923358</c:v>
                </c:pt>
                <c:pt idx="9">
                  <c:v>0.31174901050425585</c:v>
                </c:pt>
                <c:pt idx="10">
                  <c:v>-0.18645269673629286</c:v>
                </c:pt>
                <c:pt idx="11">
                  <c:v>-0.31646708200062984</c:v>
                </c:pt>
                <c:pt idx="12">
                  <c:v>-0.83192694828513525</c:v>
                </c:pt>
                <c:pt idx="13">
                  <c:v>-0.86945497502827429</c:v>
                </c:pt>
                <c:pt idx="14">
                  <c:v>-1.0181503181143818</c:v>
                </c:pt>
                <c:pt idx="15">
                  <c:v>-1.0061874189062145</c:v>
                </c:pt>
                <c:pt idx="16">
                  <c:v>-1.3155197355664459</c:v>
                </c:pt>
                <c:pt idx="17">
                  <c:v>-1.3314210269988385</c:v>
                </c:pt>
                <c:pt idx="18">
                  <c:v>-1.5015189122695265</c:v>
                </c:pt>
                <c:pt idx="19">
                  <c:v>-1.7739409555962344</c:v>
                </c:pt>
                <c:pt idx="20">
                  <c:v>-1.906300307351285</c:v>
                </c:pt>
                <c:pt idx="21">
                  <c:v>-1.9306986866601985</c:v>
                </c:pt>
                <c:pt idx="22">
                  <c:v>-2.0721522961615375</c:v>
                </c:pt>
                <c:pt idx="23">
                  <c:v>-2.2085498128357286</c:v>
                </c:pt>
                <c:pt idx="24">
                  <c:v>-2.9705870061266326</c:v>
                </c:pt>
                <c:pt idx="25">
                  <c:v>-2.6259521828766728</c:v>
                </c:pt>
                <c:pt idx="26">
                  <c:v>-3.0780090930388293</c:v>
                </c:pt>
                <c:pt idx="27">
                  <c:v>-3.4829846956034136</c:v>
                </c:pt>
                <c:pt idx="28">
                  <c:v>-3.9010546803971451</c:v>
                </c:pt>
                <c:pt idx="29">
                  <c:v>-4.3127503978208219</c:v>
                </c:pt>
                <c:pt idx="30">
                  <c:v>-4.6965286349142445</c:v>
                </c:pt>
                <c:pt idx="31">
                  <c:v>-5.0452914619956131</c:v>
                </c:pt>
                <c:pt idx="32">
                  <c:v>-5.3610723069340978</c:v>
                </c:pt>
                <c:pt idx="33">
                  <c:v>-5.7160580035210442</c:v>
                </c:pt>
                <c:pt idx="34">
                  <c:v>-5.9351304396269704</c:v>
                </c:pt>
                <c:pt idx="35">
                  <c:v>-6.1896552423387385</c:v>
                </c:pt>
                <c:pt idx="36">
                  <c:v>-6.3840284164451848</c:v>
                </c:pt>
                <c:pt idx="37">
                  <c:v>-6.6266486529926301</c:v>
                </c:pt>
                <c:pt idx="38">
                  <c:v>-6.8472130757647403</c:v>
                </c:pt>
                <c:pt idx="39">
                  <c:v>-7.0605983310714704</c:v>
                </c:pt>
                <c:pt idx="40">
                  <c:v>-7.272284870575473</c:v>
                </c:pt>
                <c:pt idx="41">
                  <c:v>-7.4866806546854949</c:v>
                </c:pt>
                <c:pt idx="42">
                  <c:v>-7.7485681381397997</c:v>
                </c:pt>
                <c:pt idx="43">
                  <c:v>-7.855757382026173</c:v>
                </c:pt>
                <c:pt idx="44">
                  <c:v>-8.0937672181302656</c:v>
                </c:pt>
                <c:pt idx="45">
                  <c:v>-8.2858861098554986</c:v>
                </c:pt>
                <c:pt idx="46">
                  <c:v>-8.3959260424774023</c:v>
                </c:pt>
                <c:pt idx="47">
                  <c:v>-8.4807723343161676</c:v>
                </c:pt>
                <c:pt idx="48">
                  <c:v>-8.6905950923311348</c:v>
                </c:pt>
                <c:pt idx="49">
                  <c:v>-8.7887797530041905</c:v>
                </c:pt>
                <c:pt idx="50">
                  <c:v>-8.975513349506878</c:v>
                </c:pt>
                <c:pt idx="51">
                  <c:v>-11.121543910264306</c:v>
                </c:pt>
              </c:numCache>
            </c:numRef>
          </c:xVal>
          <c:yVal>
            <c:numRef>
              <c:f>Recombination!$L$25:$L$76</c:f>
              <c:numCache>
                <c:formatCode>0.0000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4.775027600098845</c:v>
                </c:pt>
                <c:pt idx="5">
                  <c:v>3.2244158932231834</c:v>
                </c:pt>
                <c:pt idx="6">
                  <c:v>2.3742738704328796</c:v>
                </c:pt>
                <c:pt idx="7">
                  <c:v>1.848732324669351</c:v>
                </c:pt>
                <c:pt idx="8">
                  <c:v>1.6105787223306147</c:v>
                </c:pt>
                <c:pt idx="9">
                  <c:v>0</c:v>
                </c:pt>
                <c:pt idx="10">
                  <c:v>1.1736484552080062</c:v>
                </c:pt>
                <c:pt idx="11">
                  <c:v>1.0119707318070179</c:v>
                </c:pt>
                <c:pt idx="12">
                  <c:v>0.54230358204228357</c:v>
                </c:pt>
                <c:pt idx="13">
                  <c:v>0.30935651653034885</c:v>
                </c:pt>
                <c:pt idx="14">
                  <c:v>0.27808079759301274</c:v>
                </c:pt>
                <c:pt idx="15">
                  <c:v>0.51523700298646236</c:v>
                </c:pt>
                <c:pt idx="16">
                  <c:v>-8.8629649489155207E-2</c:v>
                </c:pt>
                <c:pt idx="17">
                  <c:v>-0.16354648145225911</c:v>
                </c:pt>
                <c:pt idx="18">
                  <c:v>-0.22522520574420365</c:v>
                </c:pt>
                <c:pt idx="19">
                  <c:v>-0.5042713182637889</c:v>
                </c:pt>
                <c:pt idx="20">
                  <c:v>-0.70408693518652632</c:v>
                </c:pt>
                <c:pt idx="21">
                  <c:v>-0.92975941532946216</c:v>
                </c:pt>
                <c:pt idx="22">
                  <c:v>-0.83744813958079289</c:v>
                </c:pt>
                <c:pt idx="23">
                  <c:v>-0.79029325454231703</c:v>
                </c:pt>
                <c:pt idx="24">
                  <c:v>0</c:v>
                </c:pt>
                <c:pt idx="25">
                  <c:v>-1.3163897510731952</c:v>
                </c:pt>
                <c:pt idx="26">
                  <c:v>-1.6902699333544127</c:v>
                </c:pt>
                <c:pt idx="27">
                  <c:v>-1.8070838129821316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D0-4C00-B3B4-EC6B383D4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Hoffman F Factor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log10(K * P_flash)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428625</xdr:colOff>
      <xdr:row>1</xdr:row>
      <xdr:rowOff>47625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workbookViewId="0">
      <pane ySplit="4" topLeftCell="A34" activePane="bottomLeft" state="frozen"/>
      <selection pane="bottomLeft" sqref="A1:L1"/>
    </sheetView>
  </sheetViews>
  <sheetFormatPr defaultRowHeight="15" x14ac:dyDescent="0.25"/>
  <cols>
    <col min="1" max="1" width="6" customWidth="1"/>
    <col min="2" max="2" width="14" customWidth="1"/>
    <col min="3" max="3" width="22" customWidth="1"/>
    <col min="4" max="4" width="10" customWidth="1"/>
    <col min="5" max="12" width="14" customWidth="1"/>
  </cols>
  <sheetData>
    <row r="1" spans="1:12" ht="26.1" customHeight="1" x14ac:dyDescent="0.25">
      <c r="A1" s="37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15" customHeight="1" x14ac:dyDescent="0.25">
      <c r="A2" s="38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4" spans="1:12" ht="21.95" customHeight="1" x14ac:dyDescent="0.25">
      <c r="A4" s="39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ht="45" x14ac:dyDescent="0.25">
      <c r="A5" s="1" t="s">
        <v>3</v>
      </c>
      <c r="B5" s="2" t="s">
        <v>4</v>
      </c>
      <c r="D5" s="1" t="s">
        <v>5</v>
      </c>
      <c r="E5" s="3">
        <v>256</v>
      </c>
      <c r="G5" s="1" t="s">
        <v>6</v>
      </c>
      <c r="H5" s="2" t="s">
        <v>7</v>
      </c>
    </row>
    <row r="6" spans="1:12" ht="45" x14ac:dyDescent="0.25">
      <c r="A6" s="1" t="s">
        <v>8</v>
      </c>
      <c r="B6" s="2" t="s">
        <v>9</v>
      </c>
      <c r="D6" s="1" t="s">
        <v>10</v>
      </c>
      <c r="E6" s="3">
        <v>3939</v>
      </c>
      <c r="G6" s="1" t="s">
        <v>11</v>
      </c>
      <c r="H6" s="2" t="s">
        <v>12</v>
      </c>
    </row>
    <row r="7" spans="1:12" ht="90" x14ac:dyDescent="0.25">
      <c r="A7" s="1" t="s">
        <v>13</v>
      </c>
      <c r="B7" s="3">
        <v>9105</v>
      </c>
      <c r="D7" s="1" t="s">
        <v>14</v>
      </c>
      <c r="E7" s="3">
        <v>1156</v>
      </c>
      <c r="G7" s="1" t="s">
        <v>15</v>
      </c>
      <c r="H7" s="2" t="s">
        <v>16</v>
      </c>
    </row>
    <row r="8" spans="1:12" ht="45" x14ac:dyDescent="0.25">
      <c r="A8" s="1" t="s">
        <v>17</v>
      </c>
      <c r="B8" s="2" t="s">
        <v>18</v>
      </c>
      <c r="D8" s="1" t="s">
        <v>19</v>
      </c>
      <c r="E8" s="2" t="s">
        <v>20</v>
      </c>
      <c r="G8" s="1" t="s">
        <v>21</v>
      </c>
      <c r="H8" s="2" t="s">
        <v>22</v>
      </c>
    </row>
    <row r="10" spans="1:12" ht="21.95" customHeight="1" x14ac:dyDescent="0.25">
      <c r="A10" s="39" t="s">
        <v>23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</row>
    <row r="11" spans="1:12" ht="60" x14ac:dyDescent="0.25">
      <c r="A11" s="1" t="s">
        <v>24</v>
      </c>
      <c r="B11" s="4">
        <v>1</v>
      </c>
      <c r="D11" s="1" t="s">
        <v>25</v>
      </c>
      <c r="E11" s="4">
        <v>1</v>
      </c>
    </row>
    <row r="12" spans="1:12" ht="105" x14ac:dyDescent="0.25">
      <c r="A12" s="1" t="s">
        <v>26</v>
      </c>
      <c r="B12" s="4">
        <v>50</v>
      </c>
      <c r="D12" s="1" t="s">
        <v>27</v>
      </c>
      <c r="E12" s="4">
        <v>70.894499999999994</v>
      </c>
    </row>
    <row r="13" spans="1:12" ht="75" x14ac:dyDescent="0.25">
      <c r="A13" s="1" t="s">
        <v>28</v>
      </c>
      <c r="B13" s="5">
        <f>(E12-B12)*B11*E11</f>
        <v>20.894499999999994</v>
      </c>
    </row>
    <row r="14" spans="1:12" ht="105" x14ac:dyDescent="0.25">
      <c r="A14" s="1" t="s">
        <v>29</v>
      </c>
      <c r="B14" s="4">
        <v>15.7576</v>
      </c>
    </row>
    <row r="15" spans="1:12" ht="60" x14ac:dyDescent="0.25">
      <c r="A15" s="1" t="s">
        <v>30</v>
      </c>
      <c r="B15" s="6">
        <v>100</v>
      </c>
      <c r="D15" s="1" t="s">
        <v>31</v>
      </c>
      <c r="E15" s="6">
        <v>113.71</v>
      </c>
    </row>
    <row r="16" spans="1:12" ht="60" x14ac:dyDescent="0.25">
      <c r="A16" s="1" t="s">
        <v>32</v>
      </c>
      <c r="B16" s="5">
        <f>E15-B15</f>
        <v>13.709999999999994</v>
      </c>
    </row>
    <row r="17" spans="1:12" ht="75" x14ac:dyDescent="0.25">
      <c r="A17" s="1" t="s">
        <v>33</v>
      </c>
      <c r="B17" s="4">
        <v>1</v>
      </c>
      <c r="D17" s="1" t="s">
        <v>34</v>
      </c>
      <c r="E17" s="6">
        <v>1013.25</v>
      </c>
    </row>
    <row r="18" spans="1:12" ht="120" x14ac:dyDescent="0.25">
      <c r="A18" s="1" t="s">
        <v>35</v>
      </c>
      <c r="B18" s="4">
        <v>500</v>
      </c>
      <c r="D18" s="1" t="s">
        <v>36</v>
      </c>
      <c r="E18" s="4">
        <v>1458.2037</v>
      </c>
    </row>
    <row r="19" spans="1:12" ht="90" x14ac:dyDescent="0.25">
      <c r="A19" s="1" t="s">
        <v>37</v>
      </c>
      <c r="B19" s="5">
        <f>(E18-B18)*B17</f>
        <v>958.20370000000003</v>
      </c>
    </row>
    <row r="20" spans="1:12" ht="60" x14ac:dyDescent="0.25">
      <c r="A20" s="1" t="s">
        <v>38</v>
      </c>
      <c r="B20" s="6">
        <v>20</v>
      </c>
      <c r="D20" s="1" t="s">
        <v>39</v>
      </c>
      <c r="E20" s="6">
        <v>1</v>
      </c>
    </row>
    <row r="21" spans="1:12" ht="120" x14ac:dyDescent="0.25">
      <c r="A21" s="1" t="s">
        <v>40</v>
      </c>
      <c r="B21" s="6">
        <v>1012.25</v>
      </c>
      <c r="D21" s="1" t="s">
        <v>41</v>
      </c>
      <c r="E21" s="4">
        <v>1.1459999999999999</v>
      </c>
    </row>
    <row r="22" spans="1:12" ht="75" x14ac:dyDescent="0.25">
      <c r="A22" s="1" t="s">
        <v>42</v>
      </c>
      <c r="B22" s="7">
        <v>1.2255E-3</v>
      </c>
    </row>
    <row r="24" spans="1:12" ht="21.95" customHeight="1" x14ac:dyDescent="0.25">
      <c r="A24" s="39" t="s">
        <v>43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</row>
    <row r="25" spans="1:12" ht="105" x14ac:dyDescent="0.25">
      <c r="A25" s="1" t="s">
        <v>44</v>
      </c>
      <c r="B25" s="8">
        <f>E17+E20</f>
        <v>1014.25</v>
      </c>
      <c r="D25" s="1" t="s">
        <v>45</v>
      </c>
      <c r="E25" s="9">
        <v>288.7056</v>
      </c>
    </row>
    <row r="26" spans="1:12" ht="60" x14ac:dyDescent="0.25">
      <c r="A26" s="1" t="s">
        <v>46</v>
      </c>
      <c r="B26" s="8">
        <f>B20+273.15</f>
        <v>293.14999999999998</v>
      </c>
      <c r="D26" s="1" t="s">
        <v>47</v>
      </c>
      <c r="E26" s="10">
        <v>1015.5981</v>
      </c>
    </row>
    <row r="27" spans="1:12" ht="60" x14ac:dyDescent="0.25">
      <c r="A27" s="1" t="s">
        <v>48</v>
      </c>
      <c r="B27" s="8">
        <f>B19*(B21/E26)*(E25/B26)</f>
        <v>940.56553009186018</v>
      </c>
    </row>
    <row r="28" spans="1:12" ht="75" x14ac:dyDescent="0.25">
      <c r="A28" s="1" t="s">
        <v>49</v>
      </c>
      <c r="B28" s="11">
        <f>E21*B22</f>
        <v>1.4044229999999999E-3</v>
      </c>
    </row>
    <row r="29" spans="1:12" ht="60" x14ac:dyDescent="0.25">
      <c r="A29" s="1" t="s">
        <v>50</v>
      </c>
      <c r="B29" s="5">
        <f>B27*B28</f>
        <v>1.3209518634682005</v>
      </c>
    </row>
    <row r="31" spans="1:12" ht="21.95" customHeight="1" x14ac:dyDescent="0.25">
      <c r="A31" s="12" t="s">
        <v>51</v>
      </c>
      <c r="B31" s="13">
        <f>B27/B14</f>
        <v>59.68964373330077</v>
      </c>
    </row>
    <row r="32" spans="1:12" ht="21.95" customHeight="1" x14ac:dyDescent="0.25">
      <c r="A32" s="12" t="s">
        <v>52</v>
      </c>
      <c r="B32" s="14">
        <f>B31*5.61458</f>
        <v>335.13227991211585</v>
      </c>
    </row>
    <row r="33" spans="1:12" ht="21.95" customHeight="1" x14ac:dyDescent="0.25">
      <c r="A33" s="12" t="s">
        <v>53</v>
      </c>
      <c r="B33" s="13">
        <f>B13/B14</f>
        <v>1.3259950753921912</v>
      </c>
    </row>
    <row r="34" spans="1:12" ht="120" x14ac:dyDescent="0.25">
      <c r="A34" s="1" t="s">
        <v>54</v>
      </c>
      <c r="B34" s="5">
        <f>B14/B13</f>
        <v>0.75415061379788961</v>
      </c>
    </row>
    <row r="35" spans="1:12" ht="90" x14ac:dyDescent="0.25">
      <c r="A35" s="1" t="s">
        <v>55</v>
      </c>
      <c r="B35" s="5">
        <f>B29/B16</f>
        <v>9.6349515934952668E-2</v>
      </c>
    </row>
    <row r="36" spans="1:12" ht="21.95" customHeight="1" x14ac:dyDescent="0.25">
      <c r="A36" s="12" t="s">
        <v>56</v>
      </c>
      <c r="B36" s="13">
        <f>B16/B14</f>
        <v>0.87005635375945534</v>
      </c>
    </row>
    <row r="37" spans="1:12" ht="45" x14ac:dyDescent="0.25">
      <c r="A37" s="1" t="s">
        <v>57</v>
      </c>
      <c r="B37" s="8">
        <f>141.5/B36-131.5</f>
        <v>31.133143690736773</v>
      </c>
    </row>
    <row r="39" spans="1:12" ht="21.95" customHeight="1" x14ac:dyDescent="0.25">
      <c r="A39" s="39" t="s">
        <v>58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</row>
    <row r="40" spans="1:12" ht="36" customHeight="1" x14ac:dyDescent="0.25">
      <c r="A40" s="15" t="s">
        <v>59</v>
      </c>
      <c r="B40" s="15" t="s">
        <v>60</v>
      </c>
      <c r="C40" s="15" t="s">
        <v>61</v>
      </c>
      <c r="D40" s="15" t="s">
        <v>62</v>
      </c>
      <c r="E40" s="15" t="s">
        <v>63</v>
      </c>
      <c r="F40" s="15" t="s">
        <v>64</v>
      </c>
      <c r="G40" s="15" t="s">
        <v>65</v>
      </c>
      <c r="H40" s="15" t="s">
        <v>66</v>
      </c>
      <c r="I40" s="15" t="s">
        <v>67</v>
      </c>
      <c r="J40" s="15" t="s">
        <v>68</v>
      </c>
      <c r="K40" s="15" t="s">
        <v>69</v>
      </c>
      <c r="L40" s="15" t="s">
        <v>70</v>
      </c>
    </row>
    <row r="41" spans="1:12" x14ac:dyDescent="0.25">
      <c r="A41" s="16">
        <v>1</v>
      </c>
      <c r="B41" s="17" t="s">
        <v>71</v>
      </c>
      <c r="C41" s="18" t="s">
        <v>72</v>
      </c>
      <c r="D41" s="19">
        <f>Component_Properties!D5</f>
        <v>2.016</v>
      </c>
      <c r="E41" s="4">
        <v>0</v>
      </c>
      <c r="F41" s="4">
        <v>0</v>
      </c>
      <c r="G41" s="4">
        <v>0</v>
      </c>
      <c r="H41" s="4">
        <v>0</v>
      </c>
      <c r="I41" s="5">
        <f t="shared" ref="I41:I72" si="0">IF(SUM($E$41:$E$92)=0,0,E41/SUM($E$41:$E$92)*100)</f>
        <v>0</v>
      </c>
      <c r="J41" s="5">
        <f t="shared" ref="J41:J72" si="1">IF(SUM($F$41:$F$92)=0,0,F41/SUM($F$41:$F$92)*100)</f>
        <v>0</v>
      </c>
      <c r="K41" s="5">
        <f t="shared" ref="K41:K72" si="2">IF(SUM($G$41:$G$92)=0,0,G41/SUM($G$41:$G$92)*100)</f>
        <v>0</v>
      </c>
      <c r="L41" s="5">
        <f t="shared" ref="L41:L72" si="3">IF(SUM($H$41:$H$92)=0,0,H41/SUM($H$41:$H$92)*100)</f>
        <v>0</v>
      </c>
    </row>
    <row r="42" spans="1:12" x14ac:dyDescent="0.25">
      <c r="A42" s="16">
        <v>2</v>
      </c>
      <c r="B42" s="17" t="s">
        <v>73</v>
      </c>
      <c r="C42" s="18" t="s">
        <v>74</v>
      </c>
      <c r="D42" s="19">
        <f>Component_Properties!D6</f>
        <v>34.0809</v>
      </c>
      <c r="E42" s="4">
        <v>7.4999999999999997E-2</v>
      </c>
      <c r="F42" s="4">
        <v>7.8E-2</v>
      </c>
      <c r="G42" s="4">
        <v>0</v>
      </c>
      <c r="H42" s="4">
        <v>0</v>
      </c>
      <c r="I42" s="5">
        <f t="shared" si="0"/>
        <v>7.5000000000000011E-2</v>
      </c>
      <c r="J42" s="5">
        <f t="shared" si="1"/>
        <v>7.8000000000000014E-2</v>
      </c>
      <c r="K42" s="5">
        <f t="shared" si="2"/>
        <v>0</v>
      </c>
      <c r="L42" s="5">
        <f t="shared" si="3"/>
        <v>0</v>
      </c>
    </row>
    <row r="43" spans="1:12" x14ac:dyDescent="0.25">
      <c r="A43" s="16">
        <v>3</v>
      </c>
      <c r="B43" s="17" t="s">
        <v>75</v>
      </c>
      <c r="C43" s="18" t="s">
        <v>76</v>
      </c>
      <c r="D43" s="19">
        <f>Component_Properties!D7</f>
        <v>44.009500000000003</v>
      </c>
      <c r="E43" s="4">
        <v>3.9249999999999998</v>
      </c>
      <c r="F43" s="4">
        <v>5.2510000000000003</v>
      </c>
      <c r="G43" s="4">
        <v>0</v>
      </c>
      <c r="H43" s="4">
        <v>0</v>
      </c>
      <c r="I43" s="5">
        <f t="shared" si="0"/>
        <v>3.9250000000000007</v>
      </c>
      <c r="J43" s="5">
        <f t="shared" si="1"/>
        <v>5.2510000000000012</v>
      </c>
      <c r="K43" s="5">
        <f t="shared" si="2"/>
        <v>0</v>
      </c>
      <c r="L43" s="5">
        <f t="shared" si="3"/>
        <v>0</v>
      </c>
    </row>
    <row r="44" spans="1:12" x14ac:dyDescent="0.25">
      <c r="A44" s="16">
        <v>4</v>
      </c>
      <c r="B44" s="17" t="s">
        <v>77</v>
      </c>
      <c r="C44" s="18" t="s">
        <v>78</v>
      </c>
      <c r="D44" s="19">
        <f>Component_Properties!D8</f>
        <v>28.013400000000001</v>
      </c>
      <c r="E44" s="4">
        <v>0.58799999999999997</v>
      </c>
      <c r="F44" s="4">
        <v>0.501</v>
      </c>
      <c r="G44" s="4">
        <v>0</v>
      </c>
      <c r="H44" s="4">
        <v>0</v>
      </c>
      <c r="I44" s="5">
        <f t="shared" si="0"/>
        <v>0.58800000000000008</v>
      </c>
      <c r="J44" s="5">
        <f t="shared" si="1"/>
        <v>0.50100000000000011</v>
      </c>
      <c r="K44" s="5">
        <f t="shared" si="2"/>
        <v>0</v>
      </c>
      <c r="L44" s="5">
        <f t="shared" si="3"/>
        <v>0</v>
      </c>
    </row>
    <row r="45" spans="1:12" x14ac:dyDescent="0.25">
      <c r="A45" s="16">
        <v>5</v>
      </c>
      <c r="B45" s="17" t="s">
        <v>79</v>
      </c>
      <c r="C45" s="18" t="s">
        <v>80</v>
      </c>
      <c r="D45" s="19">
        <f>Component_Properties!D9</f>
        <v>16.042999999999999</v>
      </c>
      <c r="E45" s="4">
        <v>47.655999999999999</v>
      </c>
      <c r="F45" s="4">
        <v>23.242000000000001</v>
      </c>
      <c r="G45" s="4">
        <v>1.2E-2</v>
      </c>
      <c r="H45" s="4">
        <v>1E-3</v>
      </c>
      <c r="I45" s="5">
        <f t="shared" si="0"/>
        <v>47.656000000000006</v>
      </c>
      <c r="J45" s="5">
        <f t="shared" si="1"/>
        <v>23.242000000000004</v>
      </c>
      <c r="K45" s="5">
        <f t="shared" si="2"/>
        <v>1.1999999999999999E-2</v>
      </c>
      <c r="L45" s="5">
        <f t="shared" si="3"/>
        <v>9.9999999999999959E-4</v>
      </c>
    </row>
    <row r="46" spans="1:12" x14ac:dyDescent="0.25">
      <c r="A46" s="16">
        <v>6</v>
      </c>
      <c r="B46" s="17" t="s">
        <v>81</v>
      </c>
      <c r="C46" s="18" t="s">
        <v>82</v>
      </c>
      <c r="D46" s="19">
        <f>Component_Properties!D10</f>
        <v>30.07</v>
      </c>
      <c r="E46" s="4">
        <v>14.083</v>
      </c>
      <c r="F46" s="4">
        <v>12.874000000000001</v>
      </c>
      <c r="G46" s="4">
        <v>0.126</v>
      </c>
      <c r="H46" s="4">
        <v>0.02</v>
      </c>
      <c r="I46" s="5">
        <f t="shared" si="0"/>
        <v>14.083000000000002</v>
      </c>
      <c r="J46" s="5">
        <f t="shared" si="1"/>
        <v>12.874000000000002</v>
      </c>
      <c r="K46" s="5">
        <f t="shared" si="2"/>
        <v>0.12599999999999997</v>
      </c>
      <c r="L46" s="5">
        <f t="shared" si="3"/>
        <v>1.9999999999999993E-2</v>
      </c>
    </row>
    <row r="47" spans="1:12" x14ac:dyDescent="0.25">
      <c r="A47" s="16">
        <v>7</v>
      </c>
      <c r="B47" s="17" t="s">
        <v>83</v>
      </c>
      <c r="C47" s="18" t="s">
        <v>84</v>
      </c>
      <c r="D47" s="19">
        <f>Component_Properties!D11</f>
        <v>44.097000000000001</v>
      </c>
      <c r="E47" s="4">
        <v>14.82</v>
      </c>
      <c r="F47" s="4">
        <v>19.867000000000001</v>
      </c>
      <c r="G47" s="4">
        <v>0.93899999999999995</v>
      </c>
      <c r="H47" s="4">
        <v>0.218</v>
      </c>
      <c r="I47" s="5">
        <f t="shared" si="0"/>
        <v>14.820000000000002</v>
      </c>
      <c r="J47" s="5">
        <f t="shared" si="1"/>
        <v>19.867000000000004</v>
      </c>
      <c r="K47" s="5">
        <f t="shared" si="2"/>
        <v>0.93899999999999972</v>
      </c>
      <c r="L47" s="5">
        <f t="shared" si="3"/>
        <v>0.21799999999999992</v>
      </c>
    </row>
    <row r="48" spans="1:12" x14ac:dyDescent="0.25">
      <c r="A48" s="16">
        <v>8</v>
      </c>
      <c r="B48" s="17" t="s">
        <v>85</v>
      </c>
      <c r="C48" s="18" t="s">
        <v>86</v>
      </c>
      <c r="D48" s="19">
        <f>Component_Properties!D12</f>
        <v>58.122999999999998</v>
      </c>
      <c r="E48" s="4">
        <v>3.6</v>
      </c>
      <c r="F48" s="4">
        <v>6.3609999999999998</v>
      </c>
      <c r="G48" s="4">
        <v>0.76500000000000001</v>
      </c>
      <c r="H48" s="4">
        <v>0.23400000000000001</v>
      </c>
      <c r="I48" s="5">
        <f t="shared" si="0"/>
        <v>3.6000000000000005</v>
      </c>
      <c r="J48" s="5">
        <f t="shared" si="1"/>
        <v>6.3609999999999998</v>
      </c>
      <c r="K48" s="5">
        <f t="shared" si="2"/>
        <v>0.7649999999999999</v>
      </c>
      <c r="L48" s="5">
        <f t="shared" si="3"/>
        <v>0.23399999999999993</v>
      </c>
    </row>
    <row r="49" spans="1:12" x14ac:dyDescent="0.25">
      <c r="A49" s="16">
        <v>9</v>
      </c>
      <c r="B49" s="17" t="s">
        <v>87</v>
      </c>
      <c r="C49" s="18" t="s">
        <v>88</v>
      </c>
      <c r="D49" s="19">
        <f>Component_Properties!D13</f>
        <v>58.122999999999998</v>
      </c>
      <c r="E49" s="4">
        <v>7.4649999999999999</v>
      </c>
      <c r="F49" s="4">
        <v>13.19</v>
      </c>
      <c r="G49" s="4">
        <v>2.7450000000000001</v>
      </c>
      <c r="H49" s="4">
        <v>0.84</v>
      </c>
      <c r="I49" s="5">
        <f t="shared" si="0"/>
        <v>7.4650000000000007</v>
      </c>
      <c r="J49" s="5">
        <f t="shared" si="1"/>
        <v>13.190000000000001</v>
      </c>
      <c r="K49" s="5">
        <f t="shared" si="2"/>
        <v>2.7449999999999997</v>
      </c>
      <c r="L49" s="5">
        <f t="shared" si="3"/>
        <v>0.83999999999999964</v>
      </c>
    </row>
    <row r="50" spans="1:12" x14ac:dyDescent="0.25">
      <c r="A50" s="16">
        <v>10</v>
      </c>
      <c r="B50" s="17" t="s">
        <v>89</v>
      </c>
      <c r="C50" s="18" t="s">
        <v>90</v>
      </c>
      <c r="D50" s="19">
        <f>Component_Properties!D14</f>
        <v>72.150999999999996</v>
      </c>
      <c r="E50" s="4">
        <v>3.3000000000000002E-2</v>
      </c>
      <c r="F50" s="4">
        <v>7.1999999999999995E-2</v>
      </c>
      <c r="G50" s="4">
        <v>0</v>
      </c>
      <c r="H50" s="4">
        <v>0</v>
      </c>
      <c r="I50" s="5">
        <f t="shared" si="0"/>
        <v>3.3000000000000008E-2</v>
      </c>
      <c r="J50" s="5">
        <f t="shared" si="1"/>
        <v>7.2000000000000008E-2</v>
      </c>
      <c r="K50" s="5">
        <f t="shared" si="2"/>
        <v>0</v>
      </c>
      <c r="L50" s="5">
        <f t="shared" si="3"/>
        <v>0</v>
      </c>
    </row>
    <row r="51" spans="1:12" x14ac:dyDescent="0.25">
      <c r="A51" s="16">
        <v>11</v>
      </c>
      <c r="B51" s="17" t="s">
        <v>91</v>
      </c>
      <c r="C51" s="18" t="s">
        <v>92</v>
      </c>
      <c r="D51" s="19">
        <f>Component_Properties!D15</f>
        <v>72.150999999999996</v>
      </c>
      <c r="E51" s="4">
        <v>2.4820000000000002</v>
      </c>
      <c r="F51" s="4">
        <v>5.4429999999999996</v>
      </c>
      <c r="G51" s="4">
        <v>2.496</v>
      </c>
      <c r="H51" s="4">
        <v>0.94799999999999995</v>
      </c>
      <c r="I51" s="5">
        <f t="shared" si="0"/>
        <v>2.4820000000000007</v>
      </c>
      <c r="J51" s="5">
        <f t="shared" si="1"/>
        <v>5.4430000000000005</v>
      </c>
      <c r="K51" s="5">
        <f t="shared" si="2"/>
        <v>2.4959999999999996</v>
      </c>
      <c r="L51" s="5">
        <f t="shared" si="3"/>
        <v>0.94799999999999951</v>
      </c>
    </row>
    <row r="52" spans="1:12" x14ac:dyDescent="0.25">
      <c r="A52" s="16">
        <v>12</v>
      </c>
      <c r="B52" s="17" t="s">
        <v>93</v>
      </c>
      <c r="C52" s="18" t="s">
        <v>94</v>
      </c>
      <c r="D52" s="19">
        <f>Component_Properties!D16</f>
        <v>72.150999999999996</v>
      </c>
      <c r="E52" s="4">
        <v>2.5870000000000002</v>
      </c>
      <c r="F52" s="4">
        <v>5.6749999999999998</v>
      </c>
      <c r="G52" s="4">
        <v>3.7749999999999999</v>
      </c>
      <c r="H52" s="4">
        <v>1.4339999999999999</v>
      </c>
      <c r="I52" s="5">
        <f t="shared" si="0"/>
        <v>2.5870000000000006</v>
      </c>
      <c r="J52" s="5">
        <f t="shared" si="1"/>
        <v>5.6750000000000007</v>
      </c>
      <c r="K52" s="5">
        <f t="shared" si="2"/>
        <v>3.774999999999999</v>
      </c>
      <c r="L52" s="5">
        <f t="shared" si="3"/>
        <v>1.4339999999999993</v>
      </c>
    </row>
    <row r="53" spans="1:12" x14ac:dyDescent="0.25">
      <c r="A53" s="16">
        <v>13</v>
      </c>
      <c r="B53" s="17" t="s">
        <v>95</v>
      </c>
      <c r="C53" s="18" t="s">
        <v>96</v>
      </c>
      <c r="D53" s="19">
        <f>Component_Properties!D17</f>
        <v>86.177000000000007</v>
      </c>
      <c r="E53" s="4">
        <v>1.613</v>
      </c>
      <c r="F53" s="4">
        <v>4.226</v>
      </c>
      <c r="G53" s="4">
        <v>6.9409999999999998</v>
      </c>
      <c r="H53" s="4">
        <v>3.15</v>
      </c>
      <c r="I53" s="5">
        <f t="shared" si="0"/>
        <v>1.6130000000000002</v>
      </c>
      <c r="J53" s="5">
        <f t="shared" si="1"/>
        <v>4.2260000000000009</v>
      </c>
      <c r="K53" s="5">
        <f t="shared" si="2"/>
        <v>6.9409999999999989</v>
      </c>
      <c r="L53" s="5">
        <f t="shared" si="3"/>
        <v>3.1499999999999986</v>
      </c>
    </row>
    <row r="54" spans="1:12" x14ac:dyDescent="0.25">
      <c r="A54" s="16">
        <v>14</v>
      </c>
      <c r="B54" s="17" t="s">
        <v>97</v>
      </c>
      <c r="C54" s="18" t="s">
        <v>98</v>
      </c>
      <c r="D54" s="19">
        <f>Component_Properties!D18</f>
        <v>84.16</v>
      </c>
      <c r="E54" s="4">
        <v>0.16500000000000001</v>
      </c>
      <c r="F54" s="4">
        <v>0.42199999999999999</v>
      </c>
      <c r="G54" s="4">
        <v>1.214</v>
      </c>
      <c r="H54" s="4">
        <v>0.53800000000000003</v>
      </c>
      <c r="I54" s="5">
        <f t="shared" si="0"/>
        <v>0.16500000000000001</v>
      </c>
      <c r="J54" s="5">
        <f t="shared" si="1"/>
        <v>0.42200000000000004</v>
      </c>
      <c r="K54" s="5">
        <f t="shared" si="2"/>
        <v>1.2139999999999997</v>
      </c>
      <c r="L54" s="5">
        <f t="shared" si="3"/>
        <v>0.53799999999999981</v>
      </c>
    </row>
    <row r="55" spans="1:12" x14ac:dyDescent="0.25">
      <c r="A55" s="16">
        <v>15</v>
      </c>
      <c r="B55" s="17" t="s">
        <v>99</v>
      </c>
      <c r="C55" s="18" t="s">
        <v>99</v>
      </c>
      <c r="D55" s="19">
        <f>Component_Properties!D19</f>
        <v>78.11</v>
      </c>
      <c r="E55" s="4">
        <v>4.2999999999999997E-2</v>
      </c>
      <c r="F55" s="4">
        <v>0.10299999999999999</v>
      </c>
      <c r="G55" s="4">
        <v>0.34</v>
      </c>
      <c r="H55" s="4">
        <v>0.14000000000000001</v>
      </c>
      <c r="I55" s="5">
        <f t="shared" si="0"/>
        <v>4.3000000000000003E-2</v>
      </c>
      <c r="J55" s="5">
        <f t="shared" si="1"/>
        <v>0.10300000000000001</v>
      </c>
      <c r="K55" s="5">
        <f t="shared" si="2"/>
        <v>0.33999999999999997</v>
      </c>
      <c r="L55" s="5">
        <f t="shared" si="3"/>
        <v>0.13999999999999996</v>
      </c>
    </row>
    <row r="56" spans="1:12" x14ac:dyDescent="0.25">
      <c r="A56" s="16">
        <v>16</v>
      </c>
      <c r="B56" s="17" t="s">
        <v>100</v>
      </c>
      <c r="C56" s="18" t="s">
        <v>101</v>
      </c>
      <c r="D56" s="19">
        <f>Component_Properties!D20</f>
        <v>84.16</v>
      </c>
      <c r="E56" s="4">
        <v>0.16900000000000001</v>
      </c>
      <c r="F56" s="4">
        <v>0.432</v>
      </c>
      <c r="G56" s="4">
        <v>0.77400000000000002</v>
      </c>
      <c r="H56" s="4">
        <v>0.34300000000000003</v>
      </c>
      <c r="I56" s="5">
        <f t="shared" si="0"/>
        <v>0.16900000000000004</v>
      </c>
      <c r="J56" s="5">
        <f t="shared" si="1"/>
        <v>0.43200000000000011</v>
      </c>
      <c r="K56" s="5">
        <f t="shared" si="2"/>
        <v>0.77399999999999991</v>
      </c>
      <c r="L56" s="5">
        <f t="shared" si="3"/>
        <v>0.34299999999999992</v>
      </c>
    </row>
    <row r="57" spans="1:12" x14ac:dyDescent="0.25">
      <c r="A57" s="16">
        <v>17</v>
      </c>
      <c r="B57" s="17" t="s">
        <v>102</v>
      </c>
      <c r="C57" s="18" t="s">
        <v>103</v>
      </c>
      <c r="D57" s="19">
        <f>Component_Properties!D21</f>
        <v>100.20399999999999</v>
      </c>
      <c r="E57" s="4">
        <v>0.34100000000000003</v>
      </c>
      <c r="F57" s="4">
        <v>1.038</v>
      </c>
      <c r="G57" s="4">
        <v>6.2729999999999997</v>
      </c>
      <c r="H57" s="4">
        <v>3.3090000000000002</v>
      </c>
      <c r="I57" s="5">
        <f t="shared" si="0"/>
        <v>0.34100000000000008</v>
      </c>
      <c r="J57" s="5">
        <f t="shared" si="1"/>
        <v>1.0380000000000003</v>
      </c>
      <c r="K57" s="5">
        <f t="shared" si="2"/>
        <v>6.2729999999999997</v>
      </c>
      <c r="L57" s="5">
        <f t="shared" si="3"/>
        <v>3.3089999999999988</v>
      </c>
    </row>
    <row r="58" spans="1:12" x14ac:dyDescent="0.25">
      <c r="A58" s="16">
        <v>18</v>
      </c>
      <c r="B58" s="17" t="s">
        <v>104</v>
      </c>
      <c r="C58" s="18" t="s">
        <v>105</v>
      </c>
      <c r="D58" s="19">
        <f>Component_Properties!D22</f>
        <v>98.19</v>
      </c>
      <c r="E58" s="4">
        <v>6.4000000000000001E-2</v>
      </c>
      <c r="F58" s="4">
        <v>0.19</v>
      </c>
      <c r="G58" s="4">
        <v>1.399</v>
      </c>
      <c r="H58" s="4">
        <v>0.72299999999999998</v>
      </c>
      <c r="I58" s="5">
        <f t="shared" si="0"/>
        <v>6.4000000000000001E-2</v>
      </c>
      <c r="J58" s="5">
        <f t="shared" si="1"/>
        <v>0.19000000000000003</v>
      </c>
      <c r="K58" s="5">
        <f t="shared" si="2"/>
        <v>1.3989999999999998</v>
      </c>
      <c r="L58" s="5">
        <f t="shared" si="3"/>
        <v>0.72299999999999964</v>
      </c>
    </row>
    <row r="59" spans="1:12" x14ac:dyDescent="0.25">
      <c r="A59" s="16">
        <v>19</v>
      </c>
      <c r="B59" s="17" t="s">
        <v>106</v>
      </c>
      <c r="C59" s="18" t="s">
        <v>106</v>
      </c>
      <c r="D59" s="19">
        <f>Component_Properties!D23</f>
        <v>92.14</v>
      </c>
      <c r="E59" s="4">
        <v>4.1000000000000002E-2</v>
      </c>
      <c r="F59" s="4">
        <v>0.114</v>
      </c>
      <c r="G59" s="4">
        <v>1.0329999999999999</v>
      </c>
      <c r="H59" s="4">
        <v>0.501</v>
      </c>
      <c r="I59" s="5">
        <f t="shared" si="0"/>
        <v>4.1000000000000009E-2</v>
      </c>
      <c r="J59" s="5">
        <f t="shared" si="1"/>
        <v>0.11400000000000002</v>
      </c>
      <c r="K59" s="5">
        <f t="shared" si="2"/>
        <v>1.0329999999999997</v>
      </c>
      <c r="L59" s="5">
        <f t="shared" si="3"/>
        <v>0.50099999999999978</v>
      </c>
    </row>
    <row r="60" spans="1:12" x14ac:dyDescent="0.25">
      <c r="A60" s="16">
        <v>20</v>
      </c>
      <c r="B60" s="17" t="s">
        <v>107</v>
      </c>
      <c r="C60" s="18" t="s">
        <v>108</v>
      </c>
      <c r="D60" s="19">
        <f>Component_Properties!D24</f>
        <v>114.23099999999999</v>
      </c>
      <c r="E60" s="4">
        <v>0.13400000000000001</v>
      </c>
      <c r="F60" s="4">
        <v>0.46600000000000003</v>
      </c>
      <c r="G60" s="4">
        <v>6.4189999999999996</v>
      </c>
      <c r="H60" s="4">
        <v>3.86</v>
      </c>
      <c r="I60" s="5">
        <f t="shared" si="0"/>
        <v>0.13400000000000004</v>
      </c>
      <c r="J60" s="5">
        <f t="shared" si="1"/>
        <v>0.46600000000000008</v>
      </c>
      <c r="K60" s="5">
        <f t="shared" si="2"/>
        <v>6.4189999999999987</v>
      </c>
      <c r="L60" s="5">
        <f t="shared" si="3"/>
        <v>3.8599999999999981</v>
      </c>
    </row>
    <row r="61" spans="1:12" x14ac:dyDescent="0.25">
      <c r="A61" s="16">
        <v>21</v>
      </c>
      <c r="B61" s="17" t="s">
        <v>109</v>
      </c>
      <c r="C61" s="18" t="s">
        <v>110</v>
      </c>
      <c r="D61" s="19">
        <f>Component_Properties!D25</f>
        <v>106.17</v>
      </c>
      <c r="E61" s="4">
        <v>8.9999999999999993E-3</v>
      </c>
      <c r="F61" s="4">
        <v>0.03</v>
      </c>
      <c r="G61" s="4">
        <v>0.68300000000000005</v>
      </c>
      <c r="H61" s="4">
        <v>0.38200000000000001</v>
      </c>
      <c r="I61" s="5">
        <f t="shared" si="0"/>
        <v>9.0000000000000011E-3</v>
      </c>
      <c r="J61" s="5">
        <f t="shared" si="1"/>
        <v>3.0000000000000002E-2</v>
      </c>
      <c r="K61" s="5">
        <f t="shared" si="2"/>
        <v>0.68299999999999994</v>
      </c>
      <c r="L61" s="5">
        <f t="shared" si="3"/>
        <v>0.38199999999999984</v>
      </c>
    </row>
    <row r="62" spans="1:12" x14ac:dyDescent="0.25">
      <c r="A62" s="16">
        <v>22</v>
      </c>
      <c r="B62" s="17" t="s">
        <v>111</v>
      </c>
      <c r="C62" s="18" t="s">
        <v>112</v>
      </c>
      <c r="D62" s="19">
        <f>Component_Properties!D26</f>
        <v>106.17</v>
      </c>
      <c r="E62" s="4">
        <v>0.01</v>
      </c>
      <c r="F62" s="4">
        <v>3.3000000000000002E-2</v>
      </c>
      <c r="G62" s="4">
        <v>1.276</v>
      </c>
      <c r="H62" s="4">
        <v>0.71299999999999997</v>
      </c>
      <c r="I62" s="5">
        <f t="shared" si="0"/>
        <v>1.0000000000000002E-2</v>
      </c>
      <c r="J62" s="5">
        <f t="shared" si="1"/>
        <v>3.3000000000000008E-2</v>
      </c>
      <c r="K62" s="5">
        <f t="shared" si="2"/>
        <v>1.2759999999999998</v>
      </c>
      <c r="L62" s="5">
        <f t="shared" si="3"/>
        <v>0.71299999999999963</v>
      </c>
    </row>
    <row r="63" spans="1:12" x14ac:dyDescent="0.25">
      <c r="A63" s="16">
        <v>23</v>
      </c>
      <c r="B63" s="17" t="s">
        <v>113</v>
      </c>
      <c r="C63" s="18" t="s">
        <v>114</v>
      </c>
      <c r="D63" s="19">
        <f>Component_Properties!D27</f>
        <v>106.17</v>
      </c>
      <c r="E63" s="4">
        <v>6.0000000000000001E-3</v>
      </c>
      <c r="F63" s="4">
        <v>1.7999999999999999E-2</v>
      </c>
      <c r="G63" s="4">
        <v>0.61899999999999999</v>
      </c>
      <c r="H63" s="4">
        <v>0.34599999999999997</v>
      </c>
      <c r="I63" s="5">
        <f t="shared" si="0"/>
        <v>6.000000000000001E-3</v>
      </c>
      <c r="J63" s="5">
        <f t="shared" si="1"/>
        <v>1.8000000000000002E-2</v>
      </c>
      <c r="K63" s="5">
        <f t="shared" si="2"/>
        <v>0.61899999999999988</v>
      </c>
      <c r="L63" s="5">
        <f t="shared" si="3"/>
        <v>0.34599999999999981</v>
      </c>
    </row>
    <row r="64" spans="1:12" x14ac:dyDescent="0.25">
      <c r="A64" s="16">
        <v>24</v>
      </c>
      <c r="B64" s="17" t="s">
        <v>115</v>
      </c>
      <c r="C64" s="18" t="s">
        <v>116</v>
      </c>
      <c r="D64" s="19">
        <f>Component_Properties!D28</f>
        <v>128.25800000000001</v>
      </c>
      <c r="E64" s="4">
        <v>5.8000000000000003E-2</v>
      </c>
      <c r="F64" s="4">
        <v>0.22700000000000001</v>
      </c>
      <c r="G64" s="4">
        <v>5.3680000000000003</v>
      </c>
      <c r="H64" s="4">
        <v>3.625</v>
      </c>
      <c r="I64" s="5">
        <f t="shared" si="0"/>
        <v>5.800000000000001E-2</v>
      </c>
      <c r="J64" s="5">
        <f t="shared" si="1"/>
        <v>0.22700000000000004</v>
      </c>
      <c r="K64" s="5">
        <f t="shared" si="2"/>
        <v>5.3679999999999994</v>
      </c>
      <c r="L64" s="5">
        <f t="shared" si="3"/>
        <v>3.6249999999999982</v>
      </c>
    </row>
    <row r="65" spans="1:12" ht="30" x14ac:dyDescent="0.25">
      <c r="A65" s="16">
        <v>25</v>
      </c>
      <c r="B65" s="17" t="s">
        <v>117</v>
      </c>
      <c r="C65" s="18" t="s">
        <v>118</v>
      </c>
      <c r="D65" s="19">
        <f>Component_Properties!D29</f>
        <v>120.19499999999999</v>
      </c>
      <c r="E65" s="4">
        <v>0</v>
      </c>
      <c r="F65" s="4">
        <v>0</v>
      </c>
      <c r="G65" s="4">
        <v>0.75700000000000001</v>
      </c>
      <c r="H65" s="4">
        <v>0.47899999999999998</v>
      </c>
      <c r="I65" s="5">
        <f t="shared" si="0"/>
        <v>0</v>
      </c>
      <c r="J65" s="5">
        <f t="shared" si="1"/>
        <v>0</v>
      </c>
      <c r="K65" s="5">
        <f t="shared" si="2"/>
        <v>0.7569999999999999</v>
      </c>
      <c r="L65" s="5">
        <f t="shared" si="3"/>
        <v>0.47899999999999976</v>
      </c>
    </row>
    <row r="66" spans="1:12" x14ac:dyDescent="0.25">
      <c r="A66" s="16">
        <v>26</v>
      </c>
      <c r="B66" s="17" t="s">
        <v>119</v>
      </c>
      <c r="C66" s="18" t="s">
        <v>120</v>
      </c>
      <c r="D66" s="19">
        <f>Component_Properties!D30</f>
        <v>142.285</v>
      </c>
      <c r="E66" s="4">
        <v>0.02</v>
      </c>
      <c r="F66" s="4">
        <v>8.7999999999999995E-2</v>
      </c>
      <c r="G66" s="4">
        <v>6.2160000000000002</v>
      </c>
      <c r="H66" s="4">
        <v>4.6559999999999997</v>
      </c>
      <c r="I66" s="5">
        <f t="shared" si="0"/>
        <v>2.0000000000000004E-2</v>
      </c>
      <c r="J66" s="5">
        <f t="shared" si="1"/>
        <v>8.8000000000000009E-2</v>
      </c>
      <c r="K66" s="5">
        <f t="shared" si="2"/>
        <v>6.2159999999999993</v>
      </c>
      <c r="L66" s="5">
        <f t="shared" si="3"/>
        <v>4.6559999999999979</v>
      </c>
    </row>
    <row r="67" spans="1:12" x14ac:dyDescent="0.25">
      <c r="A67" s="16">
        <v>27</v>
      </c>
      <c r="B67" s="17" t="s">
        <v>121</v>
      </c>
      <c r="C67" s="18" t="s">
        <v>122</v>
      </c>
      <c r="D67" s="19">
        <f>Component_Properties!D31</f>
        <v>156</v>
      </c>
      <c r="E67" s="4">
        <v>8.0000000000000002E-3</v>
      </c>
      <c r="F67" s="4">
        <v>3.5999999999999997E-2</v>
      </c>
      <c r="G67" s="4">
        <v>5.8810000000000002</v>
      </c>
      <c r="H67" s="4">
        <v>4.5510000000000002</v>
      </c>
      <c r="I67" s="5">
        <f t="shared" si="0"/>
        <v>8.0000000000000002E-3</v>
      </c>
      <c r="J67" s="5">
        <f t="shared" si="1"/>
        <v>3.6000000000000004E-2</v>
      </c>
      <c r="K67" s="5">
        <f t="shared" si="2"/>
        <v>5.8809999999999993</v>
      </c>
      <c r="L67" s="5">
        <f t="shared" si="3"/>
        <v>4.5509999999999984</v>
      </c>
    </row>
    <row r="68" spans="1:12" x14ac:dyDescent="0.25">
      <c r="A68" s="16">
        <v>28</v>
      </c>
      <c r="B68" s="17" t="s">
        <v>123</v>
      </c>
      <c r="C68" s="18" t="s">
        <v>124</v>
      </c>
      <c r="D68" s="19">
        <f>Component_Properties!D32</f>
        <v>170</v>
      </c>
      <c r="E68" s="4">
        <v>5.0000000000000001E-3</v>
      </c>
      <c r="F68" s="4">
        <v>2.3E-2</v>
      </c>
      <c r="G68" s="4">
        <v>4.8099999999999996</v>
      </c>
      <c r="H68" s="4">
        <v>4.077</v>
      </c>
      <c r="I68" s="5">
        <f t="shared" si="0"/>
        <v>5.000000000000001E-3</v>
      </c>
      <c r="J68" s="5">
        <f t="shared" si="1"/>
        <v>2.3000000000000003E-2</v>
      </c>
      <c r="K68" s="5">
        <f t="shared" si="2"/>
        <v>4.8099999999999987</v>
      </c>
      <c r="L68" s="5">
        <f t="shared" si="3"/>
        <v>4.0769999999999982</v>
      </c>
    </row>
    <row r="69" spans="1:12" x14ac:dyDescent="0.25">
      <c r="A69" s="16">
        <v>29</v>
      </c>
      <c r="B69" s="17" t="s">
        <v>125</v>
      </c>
      <c r="C69" s="18" t="s">
        <v>126</v>
      </c>
      <c r="D69" s="19">
        <f>Component_Properties!D33</f>
        <v>184</v>
      </c>
      <c r="E69" s="4">
        <v>0</v>
      </c>
      <c r="F69" s="4">
        <v>0</v>
      </c>
      <c r="G69" s="4">
        <v>4.2450000000000001</v>
      </c>
      <c r="H69" s="4">
        <v>3.911</v>
      </c>
      <c r="I69" s="5">
        <f t="shared" si="0"/>
        <v>0</v>
      </c>
      <c r="J69" s="5">
        <f t="shared" si="1"/>
        <v>0</v>
      </c>
      <c r="K69" s="5">
        <f t="shared" si="2"/>
        <v>4.2449999999999992</v>
      </c>
      <c r="L69" s="5">
        <f t="shared" si="3"/>
        <v>3.9109999999999987</v>
      </c>
    </row>
    <row r="70" spans="1:12" x14ac:dyDescent="0.25">
      <c r="A70" s="16">
        <v>30</v>
      </c>
      <c r="B70" s="17" t="s">
        <v>127</v>
      </c>
      <c r="C70" s="18" t="s">
        <v>128</v>
      </c>
      <c r="D70" s="19">
        <f>Component_Properties!D34</f>
        <v>198</v>
      </c>
      <c r="E70" s="4">
        <v>0</v>
      </c>
      <c r="F70" s="4">
        <v>0</v>
      </c>
      <c r="G70" s="4">
        <v>3.669</v>
      </c>
      <c r="H70" s="4">
        <v>3.67</v>
      </c>
      <c r="I70" s="5">
        <f t="shared" si="0"/>
        <v>0</v>
      </c>
      <c r="J70" s="5">
        <f t="shared" si="1"/>
        <v>0</v>
      </c>
      <c r="K70" s="5">
        <f t="shared" si="2"/>
        <v>3.6689999999999992</v>
      </c>
      <c r="L70" s="5">
        <f t="shared" si="3"/>
        <v>3.6699999999999982</v>
      </c>
    </row>
    <row r="71" spans="1:12" x14ac:dyDescent="0.25">
      <c r="A71" s="16">
        <v>31</v>
      </c>
      <c r="B71" s="17" t="s">
        <v>129</v>
      </c>
      <c r="C71" s="18" t="s">
        <v>130</v>
      </c>
      <c r="D71" s="19">
        <f>Component_Properties!D35</f>
        <v>212</v>
      </c>
      <c r="E71" s="4">
        <v>0</v>
      </c>
      <c r="F71" s="4">
        <v>0</v>
      </c>
      <c r="G71" s="4">
        <v>3.3220000000000001</v>
      </c>
      <c r="H71" s="4">
        <v>3.6030000000000002</v>
      </c>
      <c r="I71" s="5">
        <f t="shared" si="0"/>
        <v>0</v>
      </c>
      <c r="J71" s="5">
        <f t="shared" si="1"/>
        <v>0</v>
      </c>
      <c r="K71" s="5">
        <f t="shared" si="2"/>
        <v>3.3219999999999992</v>
      </c>
      <c r="L71" s="5">
        <f t="shared" si="3"/>
        <v>3.6029999999999984</v>
      </c>
    </row>
    <row r="72" spans="1:12" x14ac:dyDescent="0.25">
      <c r="A72" s="16">
        <v>32</v>
      </c>
      <c r="B72" s="17" t="s">
        <v>131</v>
      </c>
      <c r="C72" s="18" t="s">
        <v>132</v>
      </c>
      <c r="D72" s="19">
        <f>Component_Properties!D36</f>
        <v>226</v>
      </c>
      <c r="E72" s="4">
        <v>0</v>
      </c>
      <c r="F72" s="4">
        <v>0</v>
      </c>
      <c r="G72" s="4">
        <v>2.762</v>
      </c>
      <c r="H72" s="4">
        <v>3.2280000000000002</v>
      </c>
      <c r="I72" s="5">
        <f t="shared" si="0"/>
        <v>0</v>
      </c>
      <c r="J72" s="5">
        <f t="shared" si="1"/>
        <v>0</v>
      </c>
      <c r="K72" s="5">
        <f t="shared" si="2"/>
        <v>2.7619999999999996</v>
      </c>
      <c r="L72" s="5">
        <f t="shared" si="3"/>
        <v>3.2279999999999989</v>
      </c>
    </row>
    <row r="73" spans="1:12" x14ac:dyDescent="0.25">
      <c r="A73" s="16">
        <v>33</v>
      </c>
      <c r="B73" s="17" t="s">
        <v>133</v>
      </c>
      <c r="C73" s="18" t="s">
        <v>134</v>
      </c>
      <c r="D73" s="19">
        <f>Component_Properties!D37</f>
        <v>240</v>
      </c>
      <c r="E73" s="4">
        <v>0</v>
      </c>
      <c r="F73" s="4">
        <v>0</v>
      </c>
      <c r="G73" s="4">
        <v>2.3199999999999998</v>
      </c>
      <c r="H73" s="4">
        <v>2.895</v>
      </c>
      <c r="I73" s="5">
        <f t="shared" ref="I73:I92" si="4">IF(SUM($E$41:$E$92)=0,0,E73/SUM($E$41:$E$92)*100)</f>
        <v>0</v>
      </c>
      <c r="J73" s="5">
        <f t="shared" ref="J73:J92" si="5">IF(SUM($F$41:$F$92)=0,0,F73/SUM($F$41:$F$92)*100)</f>
        <v>0</v>
      </c>
      <c r="K73" s="5">
        <f t="shared" ref="K73:K92" si="6">IF(SUM($G$41:$G$92)=0,0,G73/SUM($G$41:$G$92)*100)</f>
        <v>2.3199999999999994</v>
      </c>
      <c r="L73" s="5">
        <f t="shared" ref="L73:L92" si="7">IF(SUM($H$41:$H$92)=0,0,H73/SUM($H$41:$H$92)*100)</f>
        <v>2.8949999999999987</v>
      </c>
    </row>
    <row r="74" spans="1:12" x14ac:dyDescent="0.25">
      <c r="A74" s="16">
        <v>34</v>
      </c>
      <c r="B74" s="17" t="s">
        <v>135</v>
      </c>
      <c r="C74" s="18" t="s">
        <v>136</v>
      </c>
      <c r="D74" s="19">
        <f>Component_Properties!D38</f>
        <v>254</v>
      </c>
      <c r="E74" s="4">
        <v>0</v>
      </c>
      <c r="F74" s="4">
        <v>0</v>
      </c>
      <c r="G74" s="4">
        <v>2.09</v>
      </c>
      <c r="H74" s="4">
        <v>2.762</v>
      </c>
      <c r="I74" s="5">
        <f t="shared" si="4"/>
        <v>0</v>
      </c>
      <c r="J74" s="5">
        <f t="shared" si="5"/>
        <v>0</v>
      </c>
      <c r="K74" s="5">
        <f t="shared" si="6"/>
        <v>2.0899999999999994</v>
      </c>
      <c r="L74" s="5">
        <f t="shared" si="7"/>
        <v>2.7619999999999987</v>
      </c>
    </row>
    <row r="75" spans="1:12" x14ac:dyDescent="0.25">
      <c r="A75" s="16">
        <v>35</v>
      </c>
      <c r="B75" s="17" t="s">
        <v>137</v>
      </c>
      <c r="C75" s="18" t="s">
        <v>138</v>
      </c>
      <c r="D75" s="19">
        <f>Component_Properties!D39</f>
        <v>268</v>
      </c>
      <c r="E75" s="4">
        <v>0</v>
      </c>
      <c r="F75" s="4">
        <v>0</v>
      </c>
      <c r="G75" s="4">
        <v>2.0009999999999999</v>
      </c>
      <c r="H75" s="4">
        <v>2.77</v>
      </c>
      <c r="I75" s="5">
        <f t="shared" si="4"/>
        <v>0</v>
      </c>
      <c r="J75" s="5">
        <f t="shared" si="5"/>
        <v>0</v>
      </c>
      <c r="K75" s="5">
        <f t="shared" si="6"/>
        <v>2.0009999999999994</v>
      </c>
      <c r="L75" s="5">
        <f t="shared" si="7"/>
        <v>2.7699999999999987</v>
      </c>
    </row>
    <row r="76" spans="1:12" x14ac:dyDescent="0.25">
      <c r="A76" s="16">
        <v>36</v>
      </c>
      <c r="B76" s="17" t="s">
        <v>139</v>
      </c>
      <c r="C76" s="18" t="s">
        <v>140</v>
      </c>
      <c r="D76" s="19">
        <f>Component_Properties!D40</f>
        <v>282</v>
      </c>
      <c r="E76" s="4">
        <v>0</v>
      </c>
      <c r="F76" s="4">
        <v>0</v>
      </c>
      <c r="G76" s="4">
        <v>1.73</v>
      </c>
      <c r="H76" s="4">
        <v>2.504</v>
      </c>
      <c r="I76" s="5">
        <f t="shared" si="4"/>
        <v>0</v>
      </c>
      <c r="J76" s="5">
        <f t="shared" si="5"/>
        <v>0</v>
      </c>
      <c r="K76" s="5">
        <f t="shared" si="6"/>
        <v>1.7299999999999995</v>
      </c>
      <c r="L76" s="5">
        <f t="shared" si="7"/>
        <v>2.5039999999999991</v>
      </c>
    </row>
    <row r="77" spans="1:12" x14ac:dyDescent="0.25">
      <c r="A77" s="16">
        <v>37</v>
      </c>
      <c r="B77" s="17" t="s">
        <v>141</v>
      </c>
      <c r="C77" s="18" t="s">
        <v>142</v>
      </c>
      <c r="D77" s="19">
        <f>Component_Properties!D41</f>
        <v>296</v>
      </c>
      <c r="E77" s="4">
        <v>0</v>
      </c>
      <c r="F77" s="4">
        <v>0</v>
      </c>
      <c r="G77" s="4">
        <v>1.554</v>
      </c>
      <c r="H77" s="4">
        <v>2.3809999999999998</v>
      </c>
      <c r="I77" s="5">
        <f t="shared" si="4"/>
        <v>0</v>
      </c>
      <c r="J77" s="5">
        <f t="shared" si="5"/>
        <v>0</v>
      </c>
      <c r="K77" s="5">
        <f t="shared" si="6"/>
        <v>1.5539999999999998</v>
      </c>
      <c r="L77" s="5">
        <f t="shared" si="7"/>
        <v>2.3809999999999989</v>
      </c>
    </row>
    <row r="78" spans="1:12" x14ac:dyDescent="0.25">
      <c r="A78" s="16">
        <v>38</v>
      </c>
      <c r="B78" s="17" t="s">
        <v>143</v>
      </c>
      <c r="C78" s="18" t="s">
        <v>144</v>
      </c>
      <c r="D78" s="19">
        <f>Component_Properties!D42</f>
        <v>310</v>
      </c>
      <c r="E78" s="4">
        <v>0</v>
      </c>
      <c r="F78" s="4">
        <v>0</v>
      </c>
      <c r="G78" s="4">
        <v>1.335</v>
      </c>
      <c r="H78" s="4">
        <v>2.1429999999999998</v>
      </c>
      <c r="I78" s="5">
        <f t="shared" si="4"/>
        <v>0</v>
      </c>
      <c r="J78" s="5">
        <f t="shared" si="5"/>
        <v>0</v>
      </c>
      <c r="K78" s="5">
        <f t="shared" si="6"/>
        <v>1.3349999999999997</v>
      </c>
      <c r="L78" s="5">
        <f t="shared" si="7"/>
        <v>2.1429999999999989</v>
      </c>
    </row>
    <row r="79" spans="1:12" x14ac:dyDescent="0.25">
      <c r="A79" s="16">
        <v>39</v>
      </c>
      <c r="B79" s="17" t="s">
        <v>145</v>
      </c>
      <c r="C79" s="18" t="s">
        <v>146</v>
      </c>
      <c r="D79" s="19">
        <f>Component_Properties!D43</f>
        <v>324</v>
      </c>
      <c r="E79" s="4">
        <v>0</v>
      </c>
      <c r="F79" s="4">
        <v>0</v>
      </c>
      <c r="G79" s="4">
        <v>1.1879999999999999</v>
      </c>
      <c r="H79" s="4">
        <v>1.9890000000000001</v>
      </c>
      <c r="I79" s="5">
        <f t="shared" si="4"/>
        <v>0</v>
      </c>
      <c r="J79" s="5">
        <f t="shared" si="5"/>
        <v>0</v>
      </c>
      <c r="K79" s="5">
        <f t="shared" si="6"/>
        <v>1.1879999999999997</v>
      </c>
      <c r="L79" s="5">
        <f t="shared" si="7"/>
        <v>1.988999999999999</v>
      </c>
    </row>
    <row r="80" spans="1:12" x14ac:dyDescent="0.25">
      <c r="A80" s="16">
        <v>40</v>
      </c>
      <c r="B80" s="17" t="s">
        <v>147</v>
      </c>
      <c r="C80" s="18" t="s">
        <v>148</v>
      </c>
      <c r="D80" s="19">
        <f>Component_Properties!D44</f>
        <v>338</v>
      </c>
      <c r="E80" s="4">
        <v>0</v>
      </c>
      <c r="F80" s="4">
        <v>0</v>
      </c>
      <c r="G80" s="4">
        <v>1.081</v>
      </c>
      <c r="H80" s="4">
        <v>1.883</v>
      </c>
      <c r="I80" s="5">
        <f t="shared" si="4"/>
        <v>0</v>
      </c>
      <c r="J80" s="5">
        <f t="shared" si="5"/>
        <v>0</v>
      </c>
      <c r="K80" s="5">
        <f t="shared" si="6"/>
        <v>1.0809999999999997</v>
      </c>
      <c r="L80" s="5">
        <f t="shared" si="7"/>
        <v>1.8829999999999993</v>
      </c>
    </row>
    <row r="81" spans="1:12" x14ac:dyDescent="0.25">
      <c r="A81" s="16">
        <v>41</v>
      </c>
      <c r="B81" s="17" t="s">
        <v>149</v>
      </c>
      <c r="C81" s="18" t="s">
        <v>150</v>
      </c>
      <c r="D81" s="19">
        <f>Component_Properties!D45</f>
        <v>352</v>
      </c>
      <c r="E81" s="4">
        <v>0</v>
      </c>
      <c r="F81" s="4">
        <v>0</v>
      </c>
      <c r="G81" s="4">
        <v>0.96</v>
      </c>
      <c r="H81" s="4">
        <v>1.744</v>
      </c>
      <c r="I81" s="5">
        <f t="shared" si="4"/>
        <v>0</v>
      </c>
      <c r="J81" s="5">
        <f t="shared" si="5"/>
        <v>0</v>
      </c>
      <c r="K81" s="5">
        <f t="shared" si="6"/>
        <v>0.95999999999999974</v>
      </c>
      <c r="L81" s="5">
        <f t="shared" si="7"/>
        <v>1.7439999999999993</v>
      </c>
    </row>
    <row r="82" spans="1:12" x14ac:dyDescent="0.25">
      <c r="A82" s="16">
        <v>42</v>
      </c>
      <c r="B82" s="17" t="s">
        <v>151</v>
      </c>
      <c r="C82" s="18" t="s">
        <v>152</v>
      </c>
      <c r="D82" s="19">
        <f>Component_Properties!D46</f>
        <v>366</v>
      </c>
      <c r="E82" s="4">
        <v>0</v>
      </c>
      <c r="F82" s="4">
        <v>0</v>
      </c>
      <c r="G82" s="4">
        <v>0.86</v>
      </c>
      <c r="H82" s="4">
        <v>1.6259999999999999</v>
      </c>
      <c r="I82" s="5">
        <f t="shared" si="4"/>
        <v>0</v>
      </c>
      <c r="J82" s="5">
        <f t="shared" si="5"/>
        <v>0</v>
      </c>
      <c r="K82" s="5">
        <f t="shared" si="6"/>
        <v>0.85999999999999988</v>
      </c>
      <c r="L82" s="5">
        <f t="shared" si="7"/>
        <v>1.6259999999999992</v>
      </c>
    </row>
    <row r="83" spans="1:12" x14ac:dyDescent="0.25">
      <c r="A83" s="16">
        <v>43</v>
      </c>
      <c r="B83" s="17" t="s">
        <v>153</v>
      </c>
      <c r="C83" s="18" t="s">
        <v>154</v>
      </c>
      <c r="D83" s="19">
        <f>Component_Properties!D47</f>
        <v>380</v>
      </c>
      <c r="E83" s="4">
        <v>0</v>
      </c>
      <c r="F83" s="4">
        <v>0</v>
      </c>
      <c r="G83" s="4">
        <v>0.77900000000000003</v>
      </c>
      <c r="H83" s="4">
        <v>1.534</v>
      </c>
      <c r="I83" s="5">
        <f t="shared" si="4"/>
        <v>0</v>
      </c>
      <c r="J83" s="5">
        <f t="shared" si="5"/>
        <v>0</v>
      </c>
      <c r="K83" s="5">
        <f t="shared" si="6"/>
        <v>0.77899999999999991</v>
      </c>
      <c r="L83" s="5">
        <f t="shared" si="7"/>
        <v>1.5339999999999994</v>
      </c>
    </row>
    <row r="84" spans="1:12" x14ac:dyDescent="0.25">
      <c r="A84" s="16">
        <v>44</v>
      </c>
      <c r="B84" s="17" t="s">
        <v>155</v>
      </c>
      <c r="C84" s="18" t="s">
        <v>156</v>
      </c>
      <c r="D84" s="19">
        <f>Component_Properties!D48</f>
        <v>394</v>
      </c>
      <c r="E84" s="4">
        <v>0</v>
      </c>
      <c r="F84" s="4">
        <v>0</v>
      </c>
      <c r="G84" s="4">
        <v>0.72899999999999998</v>
      </c>
      <c r="H84" s="4">
        <v>1.4890000000000001</v>
      </c>
      <c r="I84" s="5">
        <f t="shared" si="4"/>
        <v>0</v>
      </c>
      <c r="J84" s="5">
        <f t="shared" si="5"/>
        <v>0</v>
      </c>
      <c r="K84" s="5">
        <f t="shared" si="6"/>
        <v>0.72899999999999987</v>
      </c>
      <c r="L84" s="5">
        <f t="shared" si="7"/>
        <v>1.4889999999999994</v>
      </c>
    </row>
    <row r="85" spans="1:12" x14ac:dyDescent="0.25">
      <c r="A85" s="16">
        <v>45</v>
      </c>
      <c r="B85" s="17" t="s">
        <v>157</v>
      </c>
      <c r="C85" s="18" t="s">
        <v>158</v>
      </c>
      <c r="D85" s="19">
        <f>Component_Properties!D49</f>
        <v>408</v>
      </c>
      <c r="E85" s="4">
        <v>0</v>
      </c>
      <c r="F85" s="4">
        <v>0</v>
      </c>
      <c r="G85" s="4">
        <v>0.66900000000000004</v>
      </c>
      <c r="H85" s="4">
        <v>1.415</v>
      </c>
      <c r="I85" s="5">
        <f t="shared" si="4"/>
        <v>0</v>
      </c>
      <c r="J85" s="5">
        <f t="shared" si="5"/>
        <v>0</v>
      </c>
      <c r="K85" s="5">
        <f t="shared" si="6"/>
        <v>0.66899999999999993</v>
      </c>
      <c r="L85" s="5">
        <f t="shared" si="7"/>
        <v>1.4149999999999994</v>
      </c>
    </row>
    <row r="86" spans="1:12" x14ac:dyDescent="0.25">
      <c r="A86" s="16">
        <v>46</v>
      </c>
      <c r="B86" s="17" t="s">
        <v>159</v>
      </c>
      <c r="C86" s="18" t="s">
        <v>160</v>
      </c>
      <c r="D86" s="19">
        <f>Component_Properties!D50</f>
        <v>422</v>
      </c>
      <c r="E86" s="4">
        <v>0</v>
      </c>
      <c r="F86" s="4">
        <v>0</v>
      </c>
      <c r="G86" s="4">
        <v>0.61099999999999999</v>
      </c>
      <c r="H86" s="4">
        <v>1.3380000000000001</v>
      </c>
      <c r="I86" s="5">
        <f t="shared" si="4"/>
        <v>0</v>
      </c>
      <c r="J86" s="5">
        <f t="shared" si="5"/>
        <v>0</v>
      </c>
      <c r="K86" s="5">
        <f t="shared" si="6"/>
        <v>0.61099999999999988</v>
      </c>
      <c r="L86" s="5">
        <f t="shared" si="7"/>
        <v>1.3379999999999994</v>
      </c>
    </row>
    <row r="87" spans="1:12" x14ac:dyDescent="0.25">
      <c r="A87" s="16">
        <v>47</v>
      </c>
      <c r="B87" s="17" t="s">
        <v>161</v>
      </c>
      <c r="C87" s="18" t="s">
        <v>162</v>
      </c>
      <c r="D87" s="19">
        <f>Component_Properties!D51</f>
        <v>436</v>
      </c>
      <c r="E87" s="4">
        <v>0</v>
      </c>
      <c r="F87" s="4">
        <v>0</v>
      </c>
      <c r="G87" s="4">
        <v>0.55400000000000005</v>
      </c>
      <c r="H87" s="4">
        <v>1.2549999999999999</v>
      </c>
      <c r="I87" s="5">
        <f t="shared" si="4"/>
        <v>0</v>
      </c>
      <c r="J87" s="5">
        <f t="shared" si="5"/>
        <v>0</v>
      </c>
      <c r="K87" s="5">
        <f t="shared" si="6"/>
        <v>0.55399999999999994</v>
      </c>
      <c r="L87" s="5">
        <f t="shared" si="7"/>
        <v>1.2549999999999994</v>
      </c>
    </row>
    <row r="88" spans="1:12" x14ac:dyDescent="0.25">
      <c r="A88" s="16">
        <v>48</v>
      </c>
      <c r="B88" s="17" t="s">
        <v>163</v>
      </c>
      <c r="C88" s="18" t="s">
        <v>164</v>
      </c>
      <c r="D88" s="19">
        <f>Component_Properties!D52</f>
        <v>450</v>
      </c>
      <c r="E88" s="4">
        <v>0</v>
      </c>
      <c r="F88" s="4">
        <v>0</v>
      </c>
      <c r="G88" s="4">
        <v>0.49199999999999999</v>
      </c>
      <c r="H88" s="4">
        <v>1.1499999999999999</v>
      </c>
      <c r="I88" s="5">
        <f t="shared" si="4"/>
        <v>0</v>
      </c>
      <c r="J88" s="5">
        <f t="shared" si="5"/>
        <v>0</v>
      </c>
      <c r="K88" s="5">
        <f t="shared" si="6"/>
        <v>0.49199999999999988</v>
      </c>
      <c r="L88" s="5">
        <f t="shared" si="7"/>
        <v>1.1499999999999995</v>
      </c>
    </row>
    <row r="89" spans="1:12" x14ac:dyDescent="0.25">
      <c r="A89" s="16">
        <v>49</v>
      </c>
      <c r="B89" s="17" t="s">
        <v>165</v>
      </c>
      <c r="C89" s="18" t="s">
        <v>166</v>
      </c>
      <c r="D89" s="19">
        <f>Component_Properties!D53</f>
        <v>464</v>
      </c>
      <c r="E89" s="4">
        <v>0</v>
      </c>
      <c r="F89" s="4">
        <v>0</v>
      </c>
      <c r="G89" s="4">
        <v>0.45100000000000001</v>
      </c>
      <c r="H89" s="4">
        <v>1.087</v>
      </c>
      <c r="I89" s="5">
        <f t="shared" si="4"/>
        <v>0</v>
      </c>
      <c r="J89" s="5">
        <f t="shared" si="5"/>
        <v>0</v>
      </c>
      <c r="K89" s="5">
        <f t="shared" si="6"/>
        <v>0.4509999999999999</v>
      </c>
      <c r="L89" s="5">
        <f t="shared" si="7"/>
        <v>1.0869999999999995</v>
      </c>
    </row>
    <row r="90" spans="1:12" x14ac:dyDescent="0.25">
      <c r="A90" s="16">
        <v>50</v>
      </c>
      <c r="B90" s="17" t="s">
        <v>167</v>
      </c>
      <c r="C90" s="18" t="s">
        <v>168</v>
      </c>
      <c r="D90" s="19">
        <f>Component_Properties!D54</f>
        <v>478</v>
      </c>
      <c r="E90" s="4">
        <v>0</v>
      </c>
      <c r="F90" s="4">
        <v>0</v>
      </c>
      <c r="G90" s="4">
        <v>0.42899999999999999</v>
      </c>
      <c r="H90" s="4">
        <v>1.0660000000000001</v>
      </c>
      <c r="I90" s="5">
        <f t="shared" si="4"/>
        <v>0</v>
      </c>
      <c r="J90" s="5">
        <f t="shared" si="5"/>
        <v>0</v>
      </c>
      <c r="K90" s="5">
        <f t="shared" si="6"/>
        <v>0.42899999999999994</v>
      </c>
      <c r="L90" s="5">
        <f t="shared" si="7"/>
        <v>1.0659999999999996</v>
      </c>
    </row>
    <row r="91" spans="1:12" x14ac:dyDescent="0.25">
      <c r="A91" s="16">
        <v>51</v>
      </c>
      <c r="B91" s="17" t="s">
        <v>169</v>
      </c>
      <c r="C91" s="18" t="s">
        <v>170</v>
      </c>
      <c r="D91" s="19">
        <f>Component_Properties!D55</f>
        <v>492</v>
      </c>
      <c r="E91" s="4">
        <v>0</v>
      </c>
      <c r="F91" s="4">
        <v>0</v>
      </c>
      <c r="G91" s="4">
        <v>0.39600000000000002</v>
      </c>
      <c r="H91" s="4">
        <v>1.0129999999999999</v>
      </c>
      <c r="I91" s="5">
        <f t="shared" si="4"/>
        <v>0</v>
      </c>
      <c r="J91" s="5">
        <f t="shared" si="5"/>
        <v>0</v>
      </c>
      <c r="K91" s="5">
        <f t="shared" si="6"/>
        <v>0.39600000000000002</v>
      </c>
      <c r="L91" s="5">
        <f t="shared" si="7"/>
        <v>1.0129999999999995</v>
      </c>
    </row>
    <row r="92" spans="1:12" x14ac:dyDescent="0.25">
      <c r="A92" s="16">
        <v>52</v>
      </c>
      <c r="B92" s="17" t="s">
        <v>171</v>
      </c>
      <c r="C92" s="18" t="s">
        <v>172</v>
      </c>
      <c r="D92" s="19">
        <f>Component_Properties!D56</f>
        <v>636.4</v>
      </c>
      <c r="E92" s="4">
        <v>0</v>
      </c>
      <c r="F92" s="4">
        <v>0</v>
      </c>
      <c r="G92" s="4">
        <v>4.9119999999999999</v>
      </c>
      <c r="H92" s="4">
        <v>16.456</v>
      </c>
      <c r="I92" s="5">
        <f t="shared" si="4"/>
        <v>0</v>
      </c>
      <c r="J92" s="5">
        <f t="shared" si="5"/>
        <v>0</v>
      </c>
      <c r="K92" s="5">
        <f t="shared" si="6"/>
        <v>4.911999999999999</v>
      </c>
      <c r="L92" s="5">
        <f t="shared" si="7"/>
        <v>16.455999999999992</v>
      </c>
    </row>
    <row r="93" spans="1:12" x14ac:dyDescent="0.25">
      <c r="B93" s="20" t="s">
        <v>173</v>
      </c>
      <c r="E93" s="21">
        <f t="shared" ref="E93:L93" si="8">SUM(E41:E92)</f>
        <v>99.999999999999986</v>
      </c>
      <c r="F93" s="21">
        <f t="shared" si="8"/>
        <v>99.999999999999986</v>
      </c>
      <c r="G93" s="21">
        <f t="shared" si="8"/>
        <v>100.00000000000001</v>
      </c>
      <c r="H93" s="21">
        <f t="shared" si="8"/>
        <v>100.00000000000004</v>
      </c>
      <c r="I93" s="21">
        <f t="shared" si="8"/>
        <v>100.00000000000001</v>
      </c>
      <c r="J93" s="21">
        <f t="shared" si="8"/>
        <v>100</v>
      </c>
      <c r="K93" s="21">
        <f t="shared" si="8"/>
        <v>100</v>
      </c>
      <c r="L93" s="21">
        <f t="shared" si="8"/>
        <v>100</v>
      </c>
    </row>
    <row r="94" spans="1:12" x14ac:dyDescent="0.25">
      <c r="B94" s="1" t="s">
        <v>174</v>
      </c>
      <c r="E94" s="16" t="str">
        <f>IF(ABS(E93-100)&lt;=0.5,"PASS",IF(ABS(E93-100)&lt;=2,"REVIEW","FAIL"))</f>
        <v>PASS</v>
      </c>
      <c r="F94" s="16" t="str">
        <f>IF(ABS(F93-100)&lt;=0.5,"PASS",IF(ABS(F93-100)&lt;=2,"REVIEW","FAIL"))</f>
        <v>PASS</v>
      </c>
      <c r="G94" s="16" t="str">
        <f>IF(ABS(G93-100)&lt;=0.5,"PASS",IF(ABS(G93-100)&lt;=2,"REVIEW","FAIL"))</f>
        <v>PASS</v>
      </c>
      <c r="H94" s="16" t="str">
        <f>IF(ABS(H93-100)&lt;=0.5,"PASS",IF(ABS(H93-100)&lt;=2,"REVIEW","FAIL"))</f>
        <v>PASS</v>
      </c>
    </row>
    <row r="96" spans="1:12" ht="21.95" customHeight="1" x14ac:dyDescent="0.25">
      <c r="A96" s="39" t="s">
        <v>175</v>
      </c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</row>
    <row r="97" spans="1:5" ht="135" x14ac:dyDescent="0.25">
      <c r="A97" s="1" t="s">
        <v>176</v>
      </c>
      <c r="B97" s="5">
        <f>SUMPRODUCT(D41:D92,I41:I92)/100</f>
        <v>32.895961922000005</v>
      </c>
      <c r="D97" s="1" t="s">
        <v>177</v>
      </c>
      <c r="E97" s="5">
        <f>IF(SUM(J41:J92)=0,0,100/SUMPRODUCT(J41:J92,1/D41:D92))</f>
        <v>32.894949812784908</v>
      </c>
    </row>
    <row r="98" spans="1:5" ht="105" x14ac:dyDescent="0.25">
      <c r="A98" s="1" t="s">
        <v>178</v>
      </c>
      <c r="B98" s="22">
        <f>E21</f>
        <v>1.1459999999999999</v>
      </c>
      <c r="D98" s="1" t="s">
        <v>179</v>
      </c>
      <c r="E98" s="5">
        <f>E21*28.964</f>
        <v>33.192743999999998</v>
      </c>
    </row>
    <row r="99" spans="1:5" ht="135" x14ac:dyDescent="0.25">
      <c r="A99" s="1" t="s">
        <v>180</v>
      </c>
      <c r="B99" s="8">
        <f>SUMPRODUCT(D41:D92,K41:K92)/100</f>
        <v>192.97769196999997</v>
      </c>
      <c r="D99" s="1" t="s">
        <v>181</v>
      </c>
      <c r="E99" s="8">
        <f>IF(SUM(L41:L92)=0,0,100/SUMPRODUCT(L41:L92,1/D41:D92))</f>
        <v>192.69535766608996</v>
      </c>
    </row>
    <row r="100" spans="1:5" ht="105" x14ac:dyDescent="0.25">
      <c r="A100" s="1" t="s">
        <v>182</v>
      </c>
      <c r="B100" s="22">
        <f>B36</f>
        <v>0.87005635375945534</v>
      </c>
      <c r="D100" s="1" t="s">
        <v>183</v>
      </c>
      <c r="E100" s="23">
        <f>B37</f>
        <v>31.133143690736773</v>
      </c>
    </row>
    <row r="101" spans="1:5" ht="75" x14ac:dyDescent="0.25">
      <c r="A101" s="1" t="s">
        <v>184</v>
      </c>
      <c r="B101" s="24">
        <f>B28</f>
        <v>1.4044229999999999E-3</v>
      </c>
      <c r="D101" s="1" t="s">
        <v>185</v>
      </c>
      <c r="E101" s="11">
        <f>B97*14.73/(1205.91*288.7056)</f>
        <v>1.3917948738953678E-3</v>
      </c>
    </row>
    <row r="102" spans="1:5" ht="75" x14ac:dyDescent="0.25">
      <c r="A102" s="1" t="s">
        <v>186</v>
      </c>
      <c r="B102" s="8">
        <f>IF(B97=0,0,ABS(B97-E97)/B97*100)</f>
        <v>3.0766974302091571E-3</v>
      </c>
      <c r="D102" s="1" t="s">
        <v>187</v>
      </c>
      <c r="E102" s="8">
        <f>IF(B99=0,0,ABS(B99-E99)/B99*100)</f>
        <v>0.14630411475430877</v>
      </c>
    </row>
  </sheetData>
  <mergeCells count="7">
    <mergeCell ref="A24:L24"/>
    <mergeCell ref="A2:L2"/>
    <mergeCell ref="A96:L96"/>
    <mergeCell ref="A10:L10"/>
    <mergeCell ref="A1:L1"/>
    <mergeCell ref="A39:L39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"/>
  <sheetViews>
    <sheetView workbookViewId="0">
      <pane ySplit="4" topLeftCell="A5" activePane="bottomLeft" state="frozen"/>
      <selection pane="bottomLeft" sqref="A1:I1"/>
    </sheetView>
  </sheetViews>
  <sheetFormatPr defaultRowHeight="15" x14ac:dyDescent="0.25"/>
  <cols>
    <col min="1" max="1" width="6" customWidth="1"/>
    <col min="2" max="2" width="13" customWidth="1"/>
    <col min="3" max="3" width="25" customWidth="1"/>
    <col min="4" max="4" width="10" customWidth="1"/>
    <col min="5" max="5" width="11" customWidth="1"/>
    <col min="6" max="8" width="10" customWidth="1"/>
    <col min="9" max="9" width="13" customWidth="1"/>
  </cols>
  <sheetData>
    <row r="1" spans="1:9" ht="26.1" customHeight="1" x14ac:dyDescent="0.25">
      <c r="A1" s="37" t="s">
        <v>188</v>
      </c>
      <c r="B1" s="36"/>
      <c r="C1" s="36"/>
      <c r="D1" s="36"/>
      <c r="E1" s="36"/>
      <c r="F1" s="36"/>
      <c r="G1" s="36"/>
      <c r="H1" s="36"/>
      <c r="I1" s="36"/>
    </row>
    <row r="2" spans="1:9" ht="15" customHeight="1" x14ac:dyDescent="0.25">
      <c r="A2" s="38" t="s">
        <v>189</v>
      </c>
      <c r="B2" s="36"/>
      <c r="C2" s="36"/>
      <c r="D2" s="36"/>
      <c r="E2" s="36"/>
      <c r="F2" s="36"/>
      <c r="G2" s="36"/>
      <c r="H2" s="36"/>
      <c r="I2" s="36"/>
    </row>
    <row r="4" spans="1:9" ht="32.1" customHeight="1" x14ac:dyDescent="0.25">
      <c r="A4" s="15" t="s">
        <v>59</v>
      </c>
      <c r="B4" s="15" t="s">
        <v>60</v>
      </c>
      <c r="C4" s="15" t="s">
        <v>190</v>
      </c>
      <c r="D4" s="15" t="s">
        <v>191</v>
      </c>
      <c r="E4" s="15" t="s">
        <v>192</v>
      </c>
      <c r="F4" s="15" t="s">
        <v>193</v>
      </c>
      <c r="G4" s="15" t="s">
        <v>194</v>
      </c>
      <c r="H4" s="15" t="s">
        <v>195</v>
      </c>
      <c r="I4" s="15" t="s">
        <v>196</v>
      </c>
    </row>
    <row r="5" spans="1:9" x14ac:dyDescent="0.25">
      <c r="A5" s="16">
        <v>1</v>
      </c>
      <c r="B5" s="17" t="s">
        <v>71</v>
      </c>
      <c r="C5" s="18" t="s">
        <v>72</v>
      </c>
      <c r="D5" s="25">
        <v>2.016</v>
      </c>
      <c r="E5" s="9">
        <v>7.1099999999999997E-2</v>
      </c>
      <c r="F5" s="26">
        <v>36.700000000000003</v>
      </c>
      <c r="G5" s="26">
        <v>188</v>
      </c>
      <c r="H5" s="26">
        <v>59.4</v>
      </c>
      <c r="I5" s="8">
        <f t="shared" ref="I5:I36" si="0">D5/E5</f>
        <v>28.354430379746837</v>
      </c>
    </row>
    <row r="6" spans="1:9" x14ac:dyDescent="0.25">
      <c r="A6" s="16">
        <v>2</v>
      </c>
      <c r="B6" s="17" t="s">
        <v>73</v>
      </c>
      <c r="C6" s="18" t="s">
        <v>74</v>
      </c>
      <c r="D6" s="25">
        <v>34.0809</v>
      </c>
      <c r="E6" s="9">
        <v>0.80059999999999998</v>
      </c>
      <c r="F6" s="26">
        <v>383.1</v>
      </c>
      <c r="G6" s="26">
        <v>1300</v>
      </c>
      <c r="H6" s="26">
        <v>672.4</v>
      </c>
      <c r="I6" s="8">
        <f t="shared" si="0"/>
        <v>42.569198101423936</v>
      </c>
    </row>
    <row r="7" spans="1:9" x14ac:dyDescent="0.25">
      <c r="A7" s="16">
        <v>3</v>
      </c>
      <c r="B7" s="17" t="s">
        <v>75</v>
      </c>
      <c r="C7" s="18" t="s">
        <v>76</v>
      </c>
      <c r="D7" s="25">
        <v>44.009500000000003</v>
      </c>
      <c r="E7" s="9">
        <v>0.81799999999999995</v>
      </c>
      <c r="F7" s="26">
        <v>350</v>
      </c>
      <c r="G7" s="26">
        <v>1071</v>
      </c>
      <c r="H7" s="26">
        <v>547.6</v>
      </c>
      <c r="I7" s="8">
        <f t="shared" si="0"/>
        <v>53.801344743276289</v>
      </c>
    </row>
    <row r="8" spans="1:9" x14ac:dyDescent="0.25">
      <c r="A8" s="16">
        <v>4</v>
      </c>
      <c r="B8" s="17" t="s">
        <v>77</v>
      </c>
      <c r="C8" s="18" t="s">
        <v>78</v>
      </c>
      <c r="D8" s="25">
        <v>28.013400000000001</v>
      </c>
      <c r="E8" s="9">
        <v>0.80940000000000001</v>
      </c>
      <c r="F8" s="26">
        <v>139.30000000000001</v>
      </c>
      <c r="G8" s="26">
        <v>493</v>
      </c>
      <c r="H8" s="26">
        <v>227.2</v>
      </c>
      <c r="I8" s="8">
        <f t="shared" si="0"/>
        <v>34.610081541882877</v>
      </c>
    </row>
    <row r="9" spans="1:9" x14ac:dyDescent="0.25">
      <c r="A9" s="16">
        <v>5</v>
      </c>
      <c r="B9" s="17" t="s">
        <v>79</v>
      </c>
      <c r="C9" s="18" t="s">
        <v>80</v>
      </c>
      <c r="D9" s="25">
        <v>16.042999999999999</v>
      </c>
      <c r="E9" s="9">
        <v>0.3</v>
      </c>
      <c r="F9" s="26">
        <v>200.7</v>
      </c>
      <c r="G9" s="26">
        <v>666.4</v>
      </c>
      <c r="H9" s="26">
        <v>343</v>
      </c>
      <c r="I9" s="8">
        <f t="shared" si="0"/>
        <v>53.476666666666667</v>
      </c>
    </row>
    <row r="10" spans="1:9" x14ac:dyDescent="0.25">
      <c r="A10" s="16">
        <v>6</v>
      </c>
      <c r="B10" s="17" t="s">
        <v>81</v>
      </c>
      <c r="C10" s="18" t="s">
        <v>82</v>
      </c>
      <c r="D10" s="25">
        <v>30.07</v>
      </c>
      <c r="E10" s="9">
        <v>0.35620000000000002</v>
      </c>
      <c r="F10" s="26">
        <v>332.2</v>
      </c>
      <c r="G10" s="26">
        <v>706.5</v>
      </c>
      <c r="H10" s="26">
        <v>549.6</v>
      </c>
      <c r="I10" s="8">
        <f t="shared" si="0"/>
        <v>84.418865805727123</v>
      </c>
    </row>
    <row r="11" spans="1:9" x14ac:dyDescent="0.25">
      <c r="A11" s="16">
        <v>7</v>
      </c>
      <c r="B11" s="17" t="s">
        <v>83</v>
      </c>
      <c r="C11" s="18" t="s">
        <v>84</v>
      </c>
      <c r="D11" s="25">
        <v>44.097000000000001</v>
      </c>
      <c r="E11" s="9">
        <v>0.50700000000000001</v>
      </c>
      <c r="F11" s="26">
        <v>415.9</v>
      </c>
      <c r="G11" s="26">
        <v>616</v>
      </c>
      <c r="H11" s="26">
        <v>665.7</v>
      </c>
      <c r="I11" s="8">
        <f t="shared" si="0"/>
        <v>86.976331360946745</v>
      </c>
    </row>
    <row r="12" spans="1:9" x14ac:dyDescent="0.25">
      <c r="A12" s="16">
        <v>8</v>
      </c>
      <c r="B12" s="17" t="s">
        <v>85</v>
      </c>
      <c r="C12" s="18" t="s">
        <v>86</v>
      </c>
      <c r="D12" s="25">
        <v>58.122999999999998</v>
      </c>
      <c r="E12" s="9">
        <v>0.56289999999999996</v>
      </c>
      <c r="F12" s="26">
        <v>470.6</v>
      </c>
      <c r="G12" s="26">
        <v>527.9</v>
      </c>
      <c r="H12" s="26">
        <v>734.1</v>
      </c>
      <c r="I12" s="8">
        <f t="shared" si="0"/>
        <v>103.25635103926098</v>
      </c>
    </row>
    <row r="13" spans="1:9" x14ac:dyDescent="0.25">
      <c r="A13" s="16">
        <v>9</v>
      </c>
      <c r="B13" s="17" t="s">
        <v>87</v>
      </c>
      <c r="C13" s="18" t="s">
        <v>88</v>
      </c>
      <c r="D13" s="25">
        <v>58.122999999999998</v>
      </c>
      <c r="E13" s="9">
        <v>0.58399999999999996</v>
      </c>
      <c r="F13" s="26">
        <v>490.7</v>
      </c>
      <c r="G13" s="26">
        <v>550.6</v>
      </c>
      <c r="H13" s="26">
        <v>765.3</v>
      </c>
      <c r="I13" s="8">
        <f t="shared" si="0"/>
        <v>99.525684931506845</v>
      </c>
    </row>
    <row r="14" spans="1:9" x14ac:dyDescent="0.25">
      <c r="A14" s="16">
        <v>10</v>
      </c>
      <c r="B14" s="17" t="s">
        <v>89</v>
      </c>
      <c r="C14" s="18" t="s">
        <v>90</v>
      </c>
      <c r="D14" s="25">
        <v>72.150999999999996</v>
      </c>
      <c r="E14" s="9">
        <v>0.59670000000000001</v>
      </c>
      <c r="F14" s="26">
        <v>482.6</v>
      </c>
      <c r="G14" s="26">
        <v>464</v>
      </c>
      <c r="H14" s="26">
        <v>734.6</v>
      </c>
      <c r="I14" s="8">
        <f t="shared" si="0"/>
        <v>120.91670856376739</v>
      </c>
    </row>
    <row r="15" spans="1:9" x14ac:dyDescent="0.25">
      <c r="A15" s="16">
        <v>11</v>
      </c>
      <c r="B15" s="17" t="s">
        <v>91</v>
      </c>
      <c r="C15" s="18" t="s">
        <v>92</v>
      </c>
      <c r="D15" s="25">
        <v>72.150999999999996</v>
      </c>
      <c r="E15" s="9">
        <v>0.62439999999999996</v>
      </c>
      <c r="F15" s="26">
        <v>541.70000000000005</v>
      </c>
      <c r="G15" s="26">
        <v>490.4</v>
      </c>
      <c r="H15" s="26">
        <v>828.7</v>
      </c>
      <c r="I15" s="8">
        <f t="shared" si="0"/>
        <v>115.55253042921204</v>
      </c>
    </row>
    <row r="16" spans="1:9" x14ac:dyDescent="0.25">
      <c r="A16" s="16">
        <v>12</v>
      </c>
      <c r="B16" s="17" t="s">
        <v>93</v>
      </c>
      <c r="C16" s="18" t="s">
        <v>94</v>
      </c>
      <c r="D16" s="25">
        <v>72.150999999999996</v>
      </c>
      <c r="E16" s="9">
        <v>0.63109999999999999</v>
      </c>
      <c r="F16" s="26">
        <v>556.6</v>
      </c>
      <c r="G16" s="26">
        <v>488.6</v>
      </c>
      <c r="H16" s="26">
        <v>845.5</v>
      </c>
      <c r="I16" s="8">
        <f t="shared" si="0"/>
        <v>114.32578038345746</v>
      </c>
    </row>
    <row r="17" spans="1:9" x14ac:dyDescent="0.25">
      <c r="A17" s="16">
        <v>13</v>
      </c>
      <c r="B17" s="17" t="s">
        <v>95</v>
      </c>
      <c r="C17" s="18" t="s">
        <v>96</v>
      </c>
      <c r="D17" s="25">
        <v>86.177000000000007</v>
      </c>
      <c r="E17" s="9">
        <v>0.66400000000000003</v>
      </c>
      <c r="F17" s="26">
        <v>615.4</v>
      </c>
      <c r="G17" s="26">
        <v>436.9</v>
      </c>
      <c r="H17" s="26">
        <v>913.3</v>
      </c>
      <c r="I17" s="8">
        <f t="shared" si="0"/>
        <v>129.78463855421688</v>
      </c>
    </row>
    <row r="18" spans="1:9" x14ac:dyDescent="0.25">
      <c r="A18" s="16">
        <v>14</v>
      </c>
      <c r="B18" s="17" t="s">
        <v>97</v>
      </c>
      <c r="C18" s="18" t="s">
        <v>98</v>
      </c>
      <c r="D18" s="25">
        <v>84.16</v>
      </c>
      <c r="E18" s="9">
        <v>0.75360000000000005</v>
      </c>
      <c r="F18" s="26">
        <v>621</v>
      </c>
      <c r="G18" s="26">
        <v>548.9</v>
      </c>
      <c r="H18" s="26">
        <v>959.2</v>
      </c>
      <c r="I18" s="8">
        <f t="shared" si="0"/>
        <v>111.67728237791931</v>
      </c>
    </row>
    <row r="19" spans="1:9" x14ac:dyDescent="0.25">
      <c r="A19" s="16">
        <v>15</v>
      </c>
      <c r="B19" s="17" t="s">
        <v>99</v>
      </c>
      <c r="C19" s="18" t="s">
        <v>99</v>
      </c>
      <c r="D19" s="25">
        <v>78.11</v>
      </c>
      <c r="E19" s="9">
        <v>0.88439999999999996</v>
      </c>
      <c r="F19" s="26">
        <v>636.29999999999995</v>
      </c>
      <c r="G19" s="26">
        <v>710.4</v>
      </c>
      <c r="H19" s="26">
        <v>1012</v>
      </c>
      <c r="I19" s="8">
        <f t="shared" si="0"/>
        <v>88.319764812302125</v>
      </c>
    </row>
    <row r="20" spans="1:9" x14ac:dyDescent="0.25">
      <c r="A20" s="16">
        <v>16</v>
      </c>
      <c r="B20" s="17" t="s">
        <v>100</v>
      </c>
      <c r="C20" s="18" t="s">
        <v>101</v>
      </c>
      <c r="D20" s="25">
        <v>84.16</v>
      </c>
      <c r="E20" s="9">
        <v>0.78339999999999999</v>
      </c>
      <c r="F20" s="26">
        <v>637.20000000000005</v>
      </c>
      <c r="G20" s="26">
        <v>590.79999999999995</v>
      </c>
      <c r="H20" s="26">
        <v>996.5</v>
      </c>
      <c r="I20" s="8">
        <f t="shared" si="0"/>
        <v>107.42915496553485</v>
      </c>
    </row>
    <row r="21" spans="1:9" x14ac:dyDescent="0.25">
      <c r="A21" s="16">
        <v>17</v>
      </c>
      <c r="B21" s="17" t="s">
        <v>102</v>
      </c>
      <c r="C21" s="18" t="s">
        <v>103</v>
      </c>
      <c r="D21" s="25">
        <v>100.20399999999999</v>
      </c>
      <c r="E21" s="9">
        <v>0.72199999999999998</v>
      </c>
      <c r="F21" s="26">
        <v>668.8</v>
      </c>
      <c r="G21" s="26">
        <v>396.8</v>
      </c>
      <c r="H21" s="26">
        <v>972.4</v>
      </c>
      <c r="I21" s="8">
        <f t="shared" si="0"/>
        <v>138.78670360110803</v>
      </c>
    </row>
    <row r="22" spans="1:9" x14ac:dyDescent="0.25">
      <c r="A22" s="16">
        <v>18</v>
      </c>
      <c r="B22" s="17" t="s">
        <v>104</v>
      </c>
      <c r="C22" s="18" t="s">
        <v>105</v>
      </c>
      <c r="D22" s="25">
        <v>98.19</v>
      </c>
      <c r="E22" s="9">
        <v>0.7702</v>
      </c>
      <c r="F22" s="26">
        <v>675</v>
      </c>
      <c r="G22" s="26">
        <v>503.5</v>
      </c>
      <c r="H22" s="26">
        <v>1029.8</v>
      </c>
      <c r="I22" s="8">
        <f t="shared" si="0"/>
        <v>127.48636717735653</v>
      </c>
    </row>
    <row r="23" spans="1:9" x14ac:dyDescent="0.25">
      <c r="A23" s="16">
        <v>19</v>
      </c>
      <c r="B23" s="17" t="s">
        <v>106</v>
      </c>
      <c r="C23" s="18" t="s">
        <v>106</v>
      </c>
      <c r="D23" s="25">
        <v>92.14</v>
      </c>
      <c r="E23" s="9">
        <v>0.87180000000000002</v>
      </c>
      <c r="F23" s="26">
        <v>690.5</v>
      </c>
      <c r="G23" s="26">
        <v>595.9</v>
      </c>
      <c r="H23" s="26">
        <v>1065.5999999999999</v>
      </c>
      <c r="I23" s="8">
        <f t="shared" si="0"/>
        <v>105.68937829777472</v>
      </c>
    </row>
    <row r="24" spans="1:9" x14ac:dyDescent="0.25">
      <c r="A24" s="16">
        <v>20</v>
      </c>
      <c r="B24" s="17" t="s">
        <v>107</v>
      </c>
      <c r="C24" s="18" t="s">
        <v>108</v>
      </c>
      <c r="D24" s="25">
        <v>114.23099999999999</v>
      </c>
      <c r="E24" s="9">
        <v>0.745</v>
      </c>
      <c r="F24" s="26">
        <v>717.9</v>
      </c>
      <c r="G24" s="26">
        <v>360.7</v>
      </c>
      <c r="H24" s="26">
        <v>1023.9</v>
      </c>
      <c r="I24" s="8">
        <f t="shared" si="0"/>
        <v>153.33020134228187</v>
      </c>
    </row>
    <row r="25" spans="1:9" x14ac:dyDescent="0.25">
      <c r="A25" s="16">
        <v>21</v>
      </c>
      <c r="B25" s="17" t="s">
        <v>109</v>
      </c>
      <c r="C25" s="18" t="s">
        <v>110</v>
      </c>
      <c r="D25" s="25">
        <v>106.17</v>
      </c>
      <c r="E25" s="9">
        <v>0.872</v>
      </c>
      <c r="F25" s="26">
        <v>735.5</v>
      </c>
      <c r="G25" s="26">
        <v>523.5</v>
      </c>
      <c r="H25" s="26">
        <v>1111.0999999999999</v>
      </c>
      <c r="I25" s="8">
        <f t="shared" si="0"/>
        <v>121.75458715596331</v>
      </c>
    </row>
    <row r="26" spans="1:9" x14ac:dyDescent="0.25">
      <c r="A26" s="16">
        <v>22</v>
      </c>
      <c r="B26" s="17" t="s">
        <v>111</v>
      </c>
      <c r="C26" s="18" t="s">
        <v>112</v>
      </c>
      <c r="D26" s="25">
        <v>106.17</v>
      </c>
      <c r="E26" s="9">
        <v>0.86870000000000003</v>
      </c>
      <c r="F26" s="26">
        <v>738.4</v>
      </c>
      <c r="G26" s="26">
        <v>513.6</v>
      </c>
      <c r="H26" s="26">
        <v>1112.8</v>
      </c>
      <c r="I26" s="8">
        <f t="shared" si="0"/>
        <v>122.21710602049039</v>
      </c>
    </row>
    <row r="27" spans="1:9" x14ac:dyDescent="0.25">
      <c r="A27" s="16">
        <v>23</v>
      </c>
      <c r="B27" s="17" t="s">
        <v>113</v>
      </c>
      <c r="C27" s="18" t="s">
        <v>114</v>
      </c>
      <c r="D27" s="25">
        <v>106.17</v>
      </c>
      <c r="E27" s="9">
        <v>0.88480000000000003</v>
      </c>
      <c r="F27" s="26">
        <v>751.9</v>
      </c>
      <c r="G27" s="26">
        <v>541.4</v>
      </c>
      <c r="H27" s="26">
        <v>1135.4000000000001</v>
      </c>
      <c r="I27" s="8">
        <f t="shared" si="0"/>
        <v>119.99321880650994</v>
      </c>
    </row>
    <row r="28" spans="1:9" x14ac:dyDescent="0.25">
      <c r="A28" s="16">
        <v>24</v>
      </c>
      <c r="B28" s="17" t="s">
        <v>115</v>
      </c>
      <c r="C28" s="18" t="s">
        <v>116</v>
      </c>
      <c r="D28" s="25">
        <v>128.25800000000001</v>
      </c>
      <c r="E28" s="9">
        <v>0.76400000000000001</v>
      </c>
      <c r="F28" s="26">
        <v>763.1</v>
      </c>
      <c r="G28" s="26">
        <v>331.8</v>
      </c>
      <c r="H28" s="26">
        <v>1070.4000000000001</v>
      </c>
      <c r="I28" s="8">
        <f t="shared" si="0"/>
        <v>167.87696335078536</v>
      </c>
    </row>
    <row r="29" spans="1:9" x14ac:dyDescent="0.25">
      <c r="A29" s="16">
        <v>25</v>
      </c>
      <c r="B29" s="17" t="s">
        <v>117</v>
      </c>
      <c r="C29" s="18" t="s">
        <v>118</v>
      </c>
      <c r="D29" s="25">
        <v>120.19499999999999</v>
      </c>
      <c r="E29" s="9">
        <v>0.876</v>
      </c>
      <c r="F29" s="26">
        <v>807.5</v>
      </c>
      <c r="G29" s="26">
        <v>495</v>
      </c>
      <c r="H29" s="26">
        <v>1129</v>
      </c>
      <c r="I29" s="8">
        <f t="shared" si="0"/>
        <v>137.20890410958904</v>
      </c>
    </row>
    <row r="30" spans="1:9" x14ac:dyDescent="0.25">
      <c r="A30" s="16">
        <v>26</v>
      </c>
      <c r="B30" s="17" t="s">
        <v>119</v>
      </c>
      <c r="C30" s="18" t="s">
        <v>120</v>
      </c>
      <c r="D30" s="25">
        <v>142.285</v>
      </c>
      <c r="E30" s="9">
        <v>0.77800000000000002</v>
      </c>
      <c r="F30" s="26">
        <v>805.2</v>
      </c>
      <c r="G30" s="26">
        <v>305.7</v>
      </c>
      <c r="H30" s="26">
        <v>1111.8</v>
      </c>
      <c r="I30" s="8">
        <f t="shared" si="0"/>
        <v>182.88560411311053</v>
      </c>
    </row>
    <row r="31" spans="1:9" x14ac:dyDescent="0.25">
      <c r="A31" s="16">
        <v>27</v>
      </c>
      <c r="B31" s="17" t="s">
        <v>121</v>
      </c>
      <c r="C31" s="18" t="s">
        <v>122</v>
      </c>
      <c r="D31" s="25">
        <v>156</v>
      </c>
      <c r="E31" s="9">
        <v>0.78900000000000003</v>
      </c>
      <c r="F31" s="26">
        <v>847</v>
      </c>
      <c r="G31" s="26">
        <v>285</v>
      </c>
      <c r="H31" s="26">
        <v>1150</v>
      </c>
      <c r="I31" s="8">
        <f t="shared" si="0"/>
        <v>197.71863117870723</v>
      </c>
    </row>
    <row r="32" spans="1:9" x14ac:dyDescent="0.25">
      <c r="A32" s="16">
        <v>28</v>
      </c>
      <c r="B32" s="17" t="s">
        <v>123</v>
      </c>
      <c r="C32" s="18" t="s">
        <v>124</v>
      </c>
      <c r="D32" s="25">
        <v>170</v>
      </c>
      <c r="E32" s="9">
        <v>0.8</v>
      </c>
      <c r="F32" s="26">
        <v>885</v>
      </c>
      <c r="G32" s="26">
        <v>264</v>
      </c>
      <c r="H32" s="26">
        <v>1185</v>
      </c>
      <c r="I32" s="8">
        <f t="shared" si="0"/>
        <v>212.5</v>
      </c>
    </row>
    <row r="33" spans="1:9" x14ac:dyDescent="0.25">
      <c r="A33" s="16">
        <v>29</v>
      </c>
      <c r="B33" s="17" t="s">
        <v>125</v>
      </c>
      <c r="C33" s="18" t="s">
        <v>126</v>
      </c>
      <c r="D33" s="25">
        <v>184</v>
      </c>
      <c r="E33" s="9">
        <v>0.81100000000000005</v>
      </c>
      <c r="F33" s="26">
        <v>923</v>
      </c>
      <c r="G33" s="26">
        <v>246</v>
      </c>
      <c r="H33" s="26">
        <v>1220</v>
      </c>
      <c r="I33" s="8">
        <f t="shared" si="0"/>
        <v>226.88039457459925</v>
      </c>
    </row>
    <row r="34" spans="1:9" x14ac:dyDescent="0.25">
      <c r="A34" s="16">
        <v>30</v>
      </c>
      <c r="B34" s="17" t="s">
        <v>127</v>
      </c>
      <c r="C34" s="18" t="s">
        <v>128</v>
      </c>
      <c r="D34" s="25">
        <v>198</v>
      </c>
      <c r="E34" s="9">
        <v>0.82199999999999995</v>
      </c>
      <c r="F34" s="26">
        <v>958</v>
      </c>
      <c r="G34" s="26">
        <v>230</v>
      </c>
      <c r="H34" s="26">
        <v>1250</v>
      </c>
      <c r="I34" s="8">
        <f t="shared" si="0"/>
        <v>240.87591240875915</v>
      </c>
    </row>
    <row r="35" spans="1:9" x14ac:dyDescent="0.25">
      <c r="A35" s="16">
        <v>31</v>
      </c>
      <c r="B35" s="17" t="s">
        <v>129</v>
      </c>
      <c r="C35" s="18" t="s">
        <v>130</v>
      </c>
      <c r="D35" s="25">
        <v>212</v>
      </c>
      <c r="E35" s="9">
        <v>0.83199999999999996</v>
      </c>
      <c r="F35" s="26">
        <v>991</v>
      </c>
      <c r="G35" s="26">
        <v>217</v>
      </c>
      <c r="H35" s="26">
        <v>1280</v>
      </c>
      <c r="I35" s="8">
        <f t="shared" si="0"/>
        <v>254.80769230769232</v>
      </c>
    </row>
    <row r="36" spans="1:9" x14ac:dyDescent="0.25">
      <c r="A36" s="16">
        <v>32</v>
      </c>
      <c r="B36" s="17" t="s">
        <v>131</v>
      </c>
      <c r="C36" s="18" t="s">
        <v>132</v>
      </c>
      <c r="D36" s="25">
        <v>226</v>
      </c>
      <c r="E36" s="9">
        <v>0.83899999999999997</v>
      </c>
      <c r="F36" s="26">
        <v>1020</v>
      </c>
      <c r="G36" s="26">
        <v>205</v>
      </c>
      <c r="H36" s="26">
        <v>1305</v>
      </c>
      <c r="I36" s="8">
        <f t="shared" si="0"/>
        <v>269.36829558998807</v>
      </c>
    </row>
    <row r="37" spans="1:9" x14ac:dyDescent="0.25">
      <c r="A37" s="16">
        <v>33</v>
      </c>
      <c r="B37" s="17" t="s">
        <v>133</v>
      </c>
      <c r="C37" s="18" t="s">
        <v>134</v>
      </c>
      <c r="D37" s="25">
        <v>240</v>
      </c>
      <c r="E37" s="9">
        <v>0.84699999999999998</v>
      </c>
      <c r="F37" s="26">
        <v>1049</v>
      </c>
      <c r="G37" s="26">
        <v>193</v>
      </c>
      <c r="H37" s="26">
        <v>1332</v>
      </c>
      <c r="I37" s="8">
        <f t="shared" ref="I37:I56" si="1">D37/E37</f>
        <v>283.35301062573791</v>
      </c>
    </row>
    <row r="38" spans="1:9" x14ac:dyDescent="0.25">
      <c r="A38" s="16">
        <v>34</v>
      </c>
      <c r="B38" s="17" t="s">
        <v>135</v>
      </c>
      <c r="C38" s="18" t="s">
        <v>136</v>
      </c>
      <c r="D38" s="25">
        <v>254</v>
      </c>
      <c r="E38" s="9">
        <v>0.85199999999999998</v>
      </c>
      <c r="F38" s="26">
        <v>1075</v>
      </c>
      <c r="G38" s="26">
        <v>186</v>
      </c>
      <c r="H38" s="26">
        <v>1354</v>
      </c>
      <c r="I38" s="8">
        <f t="shared" si="1"/>
        <v>298.12206572769952</v>
      </c>
    </row>
    <row r="39" spans="1:9" x14ac:dyDescent="0.25">
      <c r="A39" s="16">
        <v>35</v>
      </c>
      <c r="B39" s="17" t="s">
        <v>137</v>
      </c>
      <c r="C39" s="18" t="s">
        <v>138</v>
      </c>
      <c r="D39" s="25">
        <v>268</v>
      </c>
      <c r="E39" s="9">
        <v>0.85699999999999998</v>
      </c>
      <c r="F39" s="26">
        <v>1101</v>
      </c>
      <c r="G39" s="26">
        <v>175</v>
      </c>
      <c r="H39" s="26">
        <v>1381</v>
      </c>
      <c r="I39" s="8">
        <f t="shared" si="1"/>
        <v>312.71878646441075</v>
      </c>
    </row>
    <row r="40" spans="1:9" x14ac:dyDescent="0.25">
      <c r="A40" s="16">
        <v>36</v>
      </c>
      <c r="B40" s="17" t="s">
        <v>139</v>
      </c>
      <c r="C40" s="18" t="s">
        <v>140</v>
      </c>
      <c r="D40" s="25">
        <v>282</v>
      </c>
      <c r="E40" s="9">
        <v>0.86199999999999999</v>
      </c>
      <c r="F40" s="26">
        <v>1124</v>
      </c>
      <c r="G40" s="26">
        <v>167</v>
      </c>
      <c r="H40" s="26">
        <v>1402</v>
      </c>
      <c r="I40" s="8">
        <f t="shared" si="1"/>
        <v>327.14617169373548</v>
      </c>
    </row>
    <row r="41" spans="1:9" x14ac:dyDescent="0.25">
      <c r="A41" s="16">
        <v>37</v>
      </c>
      <c r="B41" s="17" t="s">
        <v>141</v>
      </c>
      <c r="C41" s="18" t="s">
        <v>142</v>
      </c>
      <c r="D41" s="25">
        <v>296</v>
      </c>
      <c r="E41" s="9">
        <v>0.86699999999999999</v>
      </c>
      <c r="F41" s="26">
        <v>1146</v>
      </c>
      <c r="G41" s="26">
        <v>159</v>
      </c>
      <c r="H41" s="26">
        <v>1424</v>
      </c>
      <c r="I41" s="8">
        <f t="shared" si="1"/>
        <v>341.40715109573239</v>
      </c>
    </row>
    <row r="42" spans="1:9" x14ac:dyDescent="0.25">
      <c r="A42" s="16">
        <v>38</v>
      </c>
      <c r="B42" s="17" t="s">
        <v>143</v>
      </c>
      <c r="C42" s="18" t="s">
        <v>144</v>
      </c>
      <c r="D42" s="25">
        <v>310</v>
      </c>
      <c r="E42" s="9">
        <v>0.872</v>
      </c>
      <c r="F42" s="26">
        <v>1167</v>
      </c>
      <c r="G42" s="26">
        <v>152</v>
      </c>
      <c r="H42" s="26">
        <v>1442</v>
      </c>
      <c r="I42" s="8">
        <f t="shared" si="1"/>
        <v>355.50458715596329</v>
      </c>
    </row>
    <row r="43" spans="1:9" x14ac:dyDescent="0.25">
      <c r="A43" s="16">
        <v>39</v>
      </c>
      <c r="B43" s="17" t="s">
        <v>145</v>
      </c>
      <c r="C43" s="18" t="s">
        <v>146</v>
      </c>
      <c r="D43" s="25">
        <v>324</v>
      </c>
      <c r="E43" s="9">
        <v>0.877</v>
      </c>
      <c r="F43" s="26">
        <v>1187</v>
      </c>
      <c r="G43" s="26">
        <v>146</v>
      </c>
      <c r="H43" s="26">
        <v>1460</v>
      </c>
      <c r="I43" s="8">
        <f t="shared" si="1"/>
        <v>369.44127708095783</v>
      </c>
    </row>
    <row r="44" spans="1:9" x14ac:dyDescent="0.25">
      <c r="A44" s="16">
        <v>40</v>
      </c>
      <c r="B44" s="17" t="s">
        <v>147</v>
      </c>
      <c r="C44" s="18" t="s">
        <v>148</v>
      </c>
      <c r="D44" s="25">
        <v>338</v>
      </c>
      <c r="E44" s="9">
        <v>0.88100000000000001</v>
      </c>
      <c r="F44" s="26">
        <v>1207</v>
      </c>
      <c r="G44" s="26">
        <v>140</v>
      </c>
      <c r="H44" s="26">
        <v>1478</v>
      </c>
      <c r="I44" s="8">
        <f t="shared" si="1"/>
        <v>383.65493757094208</v>
      </c>
    </row>
    <row r="45" spans="1:9" x14ac:dyDescent="0.25">
      <c r="A45" s="16">
        <v>41</v>
      </c>
      <c r="B45" s="17" t="s">
        <v>149</v>
      </c>
      <c r="C45" s="18" t="s">
        <v>150</v>
      </c>
      <c r="D45" s="25">
        <v>352</v>
      </c>
      <c r="E45" s="9">
        <v>0.88500000000000001</v>
      </c>
      <c r="F45" s="26">
        <v>1226</v>
      </c>
      <c r="G45" s="26">
        <v>134</v>
      </c>
      <c r="H45" s="26">
        <v>1494</v>
      </c>
      <c r="I45" s="8">
        <f t="shared" si="1"/>
        <v>397.74011299435028</v>
      </c>
    </row>
    <row r="46" spans="1:9" x14ac:dyDescent="0.25">
      <c r="A46" s="16">
        <v>42</v>
      </c>
      <c r="B46" s="17" t="s">
        <v>151</v>
      </c>
      <c r="C46" s="18" t="s">
        <v>152</v>
      </c>
      <c r="D46" s="25">
        <v>366</v>
      </c>
      <c r="E46" s="9">
        <v>0.88900000000000001</v>
      </c>
      <c r="F46" s="26">
        <v>1244</v>
      </c>
      <c r="G46" s="26">
        <v>129</v>
      </c>
      <c r="H46" s="26">
        <v>1509</v>
      </c>
      <c r="I46" s="8">
        <f t="shared" si="1"/>
        <v>411.69853768278966</v>
      </c>
    </row>
    <row r="47" spans="1:9" x14ac:dyDescent="0.25">
      <c r="A47" s="16">
        <v>43</v>
      </c>
      <c r="B47" s="17" t="s">
        <v>153</v>
      </c>
      <c r="C47" s="18" t="s">
        <v>154</v>
      </c>
      <c r="D47" s="25">
        <v>380</v>
      </c>
      <c r="E47" s="9">
        <v>0.89300000000000002</v>
      </c>
      <c r="F47" s="26">
        <v>1262</v>
      </c>
      <c r="G47" s="26">
        <v>125</v>
      </c>
      <c r="H47" s="26">
        <v>1523</v>
      </c>
      <c r="I47" s="8">
        <f t="shared" si="1"/>
        <v>425.531914893617</v>
      </c>
    </row>
    <row r="48" spans="1:9" x14ac:dyDescent="0.25">
      <c r="A48" s="16">
        <v>44</v>
      </c>
      <c r="B48" s="17" t="s">
        <v>155</v>
      </c>
      <c r="C48" s="18" t="s">
        <v>156</v>
      </c>
      <c r="D48" s="25">
        <v>394</v>
      </c>
      <c r="E48" s="9">
        <v>0.89600000000000002</v>
      </c>
      <c r="F48" s="26">
        <v>1277</v>
      </c>
      <c r="G48" s="26">
        <v>120</v>
      </c>
      <c r="H48" s="26">
        <v>1537</v>
      </c>
      <c r="I48" s="8">
        <f t="shared" si="1"/>
        <v>439.73214285714283</v>
      </c>
    </row>
    <row r="49" spans="1:9" x14ac:dyDescent="0.25">
      <c r="A49" s="16">
        <v>45</v>
      </c>
      <c r="B49" s="17" t="s">
        <v>157</v>
      </c>
      <c r="C49" s="18" t="s">
        <v>158</v>
      </c>
      <c r="D49" s="25">
        <v>408</v>
      </c>
      <c r="E49" s="9">
        <v>0.89900000000000002</v>
      </c>
      <c r="F49" s="26">
        <v>1294</v>
      </c>
      <c r="G49" s="26">
        <v>116</v>
      </c>
      <c r="H49" s="26">
        <v>1550</v>
      </c>
      <c r="I49" s="8">
        <f t="shared" si="1"/>
        <v>453.83759733036709</v>
      </c>
    </row>
    <row r="50" spans="1:9" x14ac:dyDescent="0.25">
      <c r="A50" s="16">
        <v>46</v>
      </c>
      <c r="B50" s="17" t="s">
        <v>159</v>
      </c>
      <c r="C50" s="18" t="s">
        <v>160</v>
      </c>
      <c r="D50" s="25">
        <v>422</v>
      </c>
      <c r="E50" s="9">
        <v>0.90200000000000002</v>
      </c>
      <c r="F50" s="26">
        <v>1310</v>
      </c>
      <c r="G50" s="26">
        <v>112</v>
      </c>
      <c r="H50" s="26">
        <v>1563</v>
      </c>
      <c r="I50" s="8">
        <f t="shared" si="1"/>
        <v>467.84922394678489</v>
      </c>
    </row>
    <row r="51" spans="1:9" x14ac:dyDescent="0.25">
      <c r="A51" s="16">
        <v>47</v>
      </c>
      <c r="B51" s="17" t="s">
        <v>161</v>
      </c>
      <c r="C51" s="18" t="s">
        <v>162</v>
      </c>
      <c r="D51" s="25">
        <v>436</v>
      </c>
      <c r="E51" s="9">
        <v>0.90600000000000003</v>
      </c>
      <c r="F51" s="26">
        <v>1323</v>
      </c>
      <c r="G51" s="26">
        <v>108</v>
      </c>
      <c r="H51" s="26">
        <v>1574</v>
      </c>
      <c r="I51" s="8">
        <f t="shared" si="1"/>
        <v>481.23620309050773</v>
      </c>
    </row>
    <row r="52" spans="1:9" x14ac:dyDescent="0.25">
      <c r="A52" s="16">
        <v>48</v>
      </c>
      <c r="B52" s="17" t="s">
        <v>163</v>
      </c>
      <c r="C52" s="18" t="s">
        <v>164</v>
      </c>
      <c r="D52" s="25">
        <v>450</v>
      </c>
      <c r="E52" s="9">
        <v>0.90900000000000003</v>
      </c>
      <c r="F52" s="26">
        <v>1335</v>
      </c>
      <c r="G52" s="26">
        <v>104</v>
      </c>
      <c r="H52" s="26">
        <v>1584</v>
      </c>
      <c r="I52" s="8">
        <f t="shared" si="1"/>
        <v>495.04950495049502</v>
      </c>
    </row>
    <row r="53" spans="1:9" x14ac:dyDescent="0.25">
      <c r="A53" s="16">
        <v>49</v>
      </c>
      <c r="B53" s="17" t="s">
        <v>165</v>
      </c>
      <c r="C53" s="18" t="s">
        <v>166</v>
      </c>
      <c r="D53" s="25">
        <v>464</v>
      </c>
      <c r="E53" s="9">
        <v>0.91200000000000003</v>
      </c>
      <c r="F53" s="26">
        <v>1349</v>
      </c>
      <c r="G53" s="26">
        <v>101</v>
      </c>
      <c r="H53" s="26">
        <v>1594</v>
      </c>
      <c r="I53" s="8">
        <f t="shared" si="1"/>
        <v>508.77192982456137</v>
      </c>
    </row>
    <row r="54" spans="1:9" x14ac:dyDescent="0.25">
      <c r="A54" s="16">
        <v>50</v>
      </c>
      <c r="B54" s="17" t="s">
        <v>167</v>
      </c>
      <c r="C54" s="18" t="s">
        <v>168</v>
      </c>
      <c r="D54" s="25">
        <v>478</v>
      </c>
      <c r="E54" s="9">
        <v>0.91500000000000004</v>
      </c>
      <c r="F54" s="26">
        <v>1360</v>
      </c>
      <c r="G54" s="26">
        <v>98</v>
      </c>
      <c r="H54" s="26">
        <v>1603</v>
      </c>
      <c r="I54" s="8">
        <f t="shared" si="1"/>
        <v>522.40437158469945</v>
      </c>
    </row>
    <row r="55" spans="1:9" x14ac:dyDescent="0.25">
      <c r="A55" s="16">
        <v>51</v>
      </c>
      <c r="B55" s="17" t="s">
        <v>169</v>
      </c>
      <c r="C55" s="18" t="s">
        <v>170</v>
      </c>
      <c r="D55" s="25">
        <v>492</v>
      </c>
      <c r="E55" s="9">
        <v>0.91700000000000004</v>
      </c>
      <c r="F55" s="26">
        <v>1373</v>
      </c>
      <c r="G55" s="26">
        <v>95</v>
      </c>
      <c r="H55" s="26">
        <v>1612</v>
      </c>
      <c r="I55" s="8">
        <f t="shared" si="1"/>
        <v>536.53217011995639</v>
      </c>
    </row>
    <row r="56" spans="1:9" x14ac:dyDescent="0.25">
      <c r="A56" s="16">
        <v>52</v>
      </c>
      <c r="B56" s="17" t="s">
        <v>171</v>
      </c>
      <c r="C56" s="18" t="s">
        <v>172</v>
      </c>
      <c r="D56" s="25">
        <v>636.4</v>
      </c>
      <c r="E56" s="9">
        <v>0.94</v>
      </c>
      <c r="F56" s="26">
        <v>1490</v>
      </c>
      <c r="G56" s="26">
        <v>80</v>
      </c>
      <c r="H56" s="26">
        <v>1700</v>
      </c>
      <c r="I56" s="8">
        <f t="shared" si="1"/>
        <v>677.02127659574467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8"/>
  <sheetViews>
    <sheetView tabSelected="1" workbookViewId="0">
      <selection activeCell="J8" sqref="J8"/>
    </sheetView>
  </sheetViews>
  <sheetFormatPr defaultRowHeight="15" x14ac:dyDescent="0.25"/>
  <cols>
    <col min="1" max="2" width="29.7109375" customWidth="1"/>
    <col min="3" max="3" width="22" customWidth="1"/>
    <col min="4" max="4" width="10" customWidth="1"/>
    <col min="5" max="10" width="13" customWidth="1"/>
    <col min="11" max="11" width="11" customWidth="1"/>
    <col min="12" max="12" width="13" customWidth="1"/>
    <col min="13" max="13" width="12" customWidth="1"/>
  </cols>
  <sheetData>
    <row r="1" spans="1:13" ht="26.1" customHeight="1" x14ac:dyDescent="0.25">
      <c r="A1" s="37" t="s">
        <v>197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15" customHeight="1" x14ac:dyDescent="0.25">
      <c r="A2" s="38" t="s">
        <v>198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4" spans="1:13" ht="20.100000000000001" customHeight="1" x14ac:dyDescent="0.25">
      <c r="A4" s="35" t="s">
        <v>199</v>
      </c>
      <c r="B4" s="36"/>
    </row>
    <row r="5" spans="1:13" x14ac:dyDescent="0.25">
      <c r="A5" s="1" t="s">
        <v>200</v>
      </c>
      <c r="B5" s="22">
        <f>Volumetrics_Master!B16</f>
        <v>13.709999999999994</v>
      </c>
    </row>
    <row r="6" spans="1:13" x14ac:dyDescent="0.25">
      <c r="A6" s="1" t="s">
        <v>201</v>
      </c>
      <c r="B6" s="22">
        <f>Volumetrics_Master!B29</f>
        <v>1.3209518634682005</v>
      </c>
    </row>
    <row r="7" spans="1:13" x14ac:dyDescent="0.25">
      <c r="A7" s="1" t="s">
        <v>202</v>
      </c>
      <c r="B7" s="22">
        <f>Volumetrics_Master!B14</f>
        <v>15.7576</v>
      </c>
    </row>
    <row r="8" spans="1:13" x14ac:dyDescent="0.25">
      <c r="A8" s="1" t="s">
        <v>48</v>
      </c>
      <c r="B8" s="22">
        <f>Volumetrics_Master!B27</f>
        <v>940.56553009186018</v>
      </c>
    </row>
    <row r="9" spans="1:13" x14ac:dyDescent="0.25">
      <c r="A9" s="1" t="s">
        <v>51</v>
      </c>
      <c r="B9" s="22">
        <f>Volumetrics_Master!B31</f>
        <v>59.68964373330077</v>
      </c>
    </row>
    <row r="10" spans="1:13" x14ac:dyDescent="0.25">
      <c r="A10" s="1" t="s">
        <v>52</v>
      </c>
      <c r="B10" s="23">
        <f>Volumetrics_Master!B32</f>
        <v>335.13227991211585</v>
      </c>
    </row>
    <row r="11" spans="1:13" x14ac:dyDescent="0.25">
      <c r="A11" s="1" t="s">
        <v>203</v>
      </c>
      <c r="B11" s="22">
        <f>Volumetrics_Master!B36</f>
        <v>0.87005635375945534</v>
      </c>
    </row>
    <row r="12" spans="1:13" x14ac:dyDescent="0.25">
      <c r="A12" s="1" t="s">
        <v>41</v>
      </c>
      <c r="B12" s="22">
        <f>Volumetrics_Master!E21</f>
        <v>1.1459999999999999</v>
      </c>
    </row>
    <row r="13" spans="1:13" x14ac:dyDescent="0.25">
      <c r="A13" s="1" t="s">
        <v>204</v>
      </c>
      <c r="B13" s="27">
        <v>15</v>
      </c>
    </row>
    <row r="14" spans="1:13" x14ac:dyDescent="0.25">
      <c r="A14" s="1" t="s">
        <v>205</v>
      </c>
      <c r="B14" s="27">
        <v>60</v>
      </c>
    </row>
    <row r="15" spans="1:13" x14ac:dyDescent="0.25">
      <c r="A15" s="1" t="s">
        <v>206</v>
      </c>
      <c r="B15" s="28">
        <f>B14+459.67</f>
        <v>519.67000000000007</v>
      </c>
    </row>
    <row r="17" spans="1:13" ht="20.100000000000001" customHeight="1" x14ac:dyDescent="0.25">
      <c r="A17" s="35" t="s">
        <v>207</v>
      </c>
      <c r="B17" s="36"/>
    </row>
    <row r="18" spans="1:13" x14ac:dyDescent="0.25">
      <c r="A18" s="1" t="s">
        <v>208</v>
      </c>
      <c r="B18" s="29">
        <f>B6/(B5+B6)</f>
        <v>8.788211654637075E-2</v>
      </c>
    </row>
    <row r="19" spans="1:13" x14ac:dyDescent="0.25">
      <c r="A19" s="1" t="s">
        <v>209</v>
      </c>
      <c r="B19" s="29">
        <f>1-B18</f>
        <v>0.91211788345362921</v>
      </c>
    </row>
    <row r="20" spans="1:13" x14ac:dyDescent="0.25">
      <c r="A20" s="1" t="s">
        <v>210</v>
      </c>
      <c r="B20" s="5">
        <f>B5+B6</f>
        <v>15.030951863468195</v>
      </c>
    </row>
    <row r="21" spans="1:13" ht="21.95" customHeight="1" x14ac:dyDescent="0.25">
      <c r="A21" s="12" t="s">
        <v>211</v>
      </c>
      <c r="B21" s="13">
        <f>IF(SUM(I25:I76)=0,0,100/SUMPRODUCT(I25:I76,1/D25:D76))</f>
        <v>135.04261222141739</v>
      </c>
    </row>
    <row r="22" spans="1:13" ht="21.95" customHeight="1" x14ac:dyDescent="0.25">
      <c r="A22" s="12" t="s">
        <v>212</v>
      </c>
      <c r="B22" s="13">
        <f>SUMPRODUCT(D25:D76,J25:J76)/100</f>
        <v>135.04261222141733</v>
      </c>
    </row>
    <row r="23" spans="1:13" ht="20.100000000000001" customHeight="1" x14ac:dyDescent="0.25">
      <c r="A23" s="35" t="s">
        <v>213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</row>
    <row r="24" spans="1:13" ht="33.950000000000003" customHeight="1" x14ac:dyDescent="0.25">
      <c r="A24" s="15" t="s">
        <v>59</v>
      </c>
      <c r="B24" s="15" t="s">
        <v>60</v>
      </c>
      <c r="C24" s="15" t="s">
        <v>61</v>
      </c>
      <c r="D24" s="15" t="s">
        <v>214</v>
      </c>
      <c r="E24" s="15" t="s">
        <v>215</v>
      </c>
      <c r="F24" s="15" t="s">
        <v>216</v>
      </c>
      <c r="G24" s="15" t="s">
        <v>217</v>
      </c>
      <c r="H24" s="15" t="s">
        <v>218</v>
      </c>
      <c r="I24" s="15" t="s">
        <v>219</v>
      </c>
      <c r="J24" s="15" t="s">
        <v>220</v>
      </c>
      <c r="K24" s="15" t="s">
        <v>221</v>
      </c>
      <c r="L24" s="15" t="s">
        <v>222</v>
      </c>
      <c r="M24" s="15" t="s">
        <v>223</v>
      </c>
    </row>
    <row r="25" spans="1:13" x14ac:dyDescent="0.25">
      <c r="A25" s="16">
        <v>1</v>
      </c>
      <c r="B25" s="30" t="str">
        <f>Volumetrics_Master!B41</f>
        <v>H2</v>
      </c>
      <c r="C25" s="31" t="str">
        <f>Volumetrics_Master!C41</f>
        <v>Hydrogen</v>
      </c>
      <c r="D25" s="19">
        <f>Component_Properties!D5</f>
        <v>2.016</v>
      </c>
      <c r="E25" s="22">
        <f>Volumetrics_Master!I41</f>
        <v>0</v>
      </c>
      <c r="F25" s="22">
        <f>Volumetrics_Master!J41</f>
        <v>0</v>
      </c>
      <c r="G25" s="22">
        <f>Volumetrics_Master!K41</f>
        <v>0</v>
      </c>
      <c r="H25" s="22">
        <f>Volumetrics_Master!L41</f>
        <v>0</v>
      </c>
      <c r="I25" s="5">
        <f t="shared" ref="I25:I56" si="0">$B$18*F25+$B$19*H25</f>
        <v>0</v>
      </c>
      <c r="J25" s="5">
        <f t="shared" ref="J25:J56" si="1">IF(SUMPRODUCT($I$25:$I$76,1/$D$25:$D$76)=0,0,(I25/D25)/SUMPRODUCT($I$25:$I$76,1/$D$25:$D$76)*100)</f>
        <v>0</v>
      </c>
      <c r="K25" s="29" t="str">
        <f t="shared" ref="K25:K56" si="2">IF(G25=0,"",E25/G25)</f>
        <v/>
      </c>
      <c r="L25" s="5" t="str">
        <f t="shared" ref="L25:L56" si="3">IF(OR(K25="",K25=0),"",LOG10(K25*$B$13))</f>
        <v/>
      </c>
      <c r="M25" s="5">
        <f>IF(OR(Component_Properties!F5=0,Component_Properties!H5=Component_Properties!F5),"",(LOG10(Component_Properties!G5/14.7)/(1/Component_Properties!F5-1/Component_Properties!H5))*(1/Component_Properties!F5-1/$B$15))</f>
        <v>2.6917712129712141</v>
      </c>
    </row>
    <row r="26" spans="1:13" x14ac:dyDescent="0.25">
      <c r="A26" s="16">
        <v>2</v>
      </c>
      <c r="B26" s="30" t="str">
        <f>Volumetrics_Master!B42</f>
        <v>H2S</v>
      </c>
      <c r="C26" s="31" t="str">
        <f>Volumetrics_Master!C42</f>
        <v>Hydrogen Sulfide</v>
      </c>
      <c r="D26" s="19">
        <f>Component_Properties!D6</f>
        <v>34.0809</v>
      </c>
      <c r="E26" s="22">
        <f>Volumetrics_Master!I42</f>
        <v>7.5000000000000011E-2</v>
      </c>
      <c r="F26" s="22">
        <f>Volumetrics_Master!J42</f>
        <v>7.8000000000000014E-2</v>
      </c>
      <c r="G26" s="22">
        <f>Volumetrics_Master!K42</f>
        <v>0</v>
      </c>
      <c r="H26" s="22">
        <f>Volumetrics_Master!L42</f>
        <v>0</v>
      </c>
      <c r="I26" s="5">
        <f t="shared" si="0"/>
        <v>6.8548050906169196E-3</v>
      </c>
      <c r="J26" s="5">
        <f t="shared" si="1"/>
        <v>2.7161571017947844E-2</v>
      </c>
      <c r="K26" s="29" t="str">
        <f t="shared" si="2"/>
        <v/>
      </c>
      <c r="L26" s="5" t="str">
        <f t="shared" si="3"/>
        <v/>
      </c>
      <c r="M26" s="5">
        <f>IF(OR(Component_Properties!F6=0,Component_Properties!H6=Component_Properties!F6),"",(LOG10(Component_Properties!G6/14.7)/(1/Component_Properties!F6-1/Component_Properties!H6))*(1/Component_Properties!F6-1/$B$15))</f>
        <v>1.189020816432889</v>
      </c>
    </row>
    <row r="27" spans="1:13" x14ac:dyDescent="0.25">
      <c r="A27" s="16">
        <v>3</v>
      </c>
      <c r="B27" s="30" t="str">
        <f>Volumetrics_Master!B43</f>
        <v>CO2</v>
      </c>
      <c r="C27" s="31" t="str">
        <f>Volumetrics_Master!C43</f>
        <v>Carbon Dioxide</v>
      </c>
      <c r="D27" s="19">
        <f>Component_Properties!D7</f>
        <v>44.009500000000003</v>
      </c>
      <c r="E27" s="22">
        <f>Volumetrics_Master!I43</f>
        <v>3.9250000000000007</v>
      </c>
      <c r="F27" s="22">
        <f>Volumetrics_Master!J43</f>
        <v>5.2510000000000012</v>
      </c>
      <c r="G27" s="22">
        <f>Volumetrics_Master!K43</f>
        <v>0</v>
      </c>
      <c r="H27" s="22">
        <f>Volumetrics_Master!L43</f>
        <v>0</v>
      </c>
      <c r="I27" s="5">
        <f t="shared" si="0"/>
        <v>0.46146899398499291</v>
      </c>
      <c r="J27" s="5">
        <f t="shared" si="1"/>
        <v>1.4160119612111701</v>
      </c>
      <c r="K27" s="29" t="str">
        <f t="shared" si="2"/>
        <v/>
      </c>
      <c r="L27" s="5" t="str">
        <f t="shared" si="3"/>
        <v/>
      </c>
      <c r="M27" s="5">
        <f>IF(OR(Component_Properties!F7=0,Component_Properties!H7=Component_Properties!F7),"",(LOG10(Component_Properties!G7/14.7)/(1/Component_Properties!F7-1/Component_Properties!H7))*(1/Component_Properties!F7-1/$B$15))</f>
        <v>1.6851699143307011</v>
      </c>
    </row>
    <row r="28" spans="1:13" x14ac:dyDescent="0.25">
      <c r="A28" s="16">
        <v>4</v>
      </c>
      <c r="B28" s="30" t="str">
        <f>Volumetrics_Master!B44</f>
        <v>N2</v>
      </c>
      <c r="C28" s="31" t="str">
        <f>Volumetrics_Master!C44</f>
        <v>Nitrogen</v>
      </c>
      <c r="D28" s="19">
        <f>Component_Properties!D8</f>
        <v>28.013400000000001</v>
      </c>
      <c r="E28" s="22">
        <f>Volumetrics_Master!I44</f>
        <v>0.58800000000000008</v>
      </c>
      <c r="F28" s="22">
        <f>Volumetrics_Master!J44</f>
        <v>0.50100000000000011</v>
      </c>
      <c r="G28" s="22">
        <f>Volumetrics_Master!K44</f>
        <v>0</v>
      </c>
      <c r="H28" s="22">
        <f>Volumetrics_Master!L44</f>
        <v>0</v>
      </c>
      <c r="I28" s="5">
        <f t="shared" si="0"/>
        <v>4.4028940389731756E-2</v>
      </c>
      <c r="J28" s="5">
        <f t="shared" si="1"/>
        <v>0.21224782152721369</v>
      </c>
      <c r="K28" s="29" t="str">
        <f t="shared" si="2"/>
        <v/>
      </c>
      <c r="L28" s="5" t="str">
        <f t="shared" si="3"/>
        <v/>
      </c>
      <c r="M28" s="5">
        <f>IF(OR(Component_Properties!F8=0,Component_Properties!H8=Component_Properties!F8),"",(LOG10(Component_Properties!G8/14.7)/(1/Component_Properties!F8-1/Component_Properties!H8))*(1/Component_Properties!F8-1/$B$15))</f>
        <v>2.8861486576311846</v>
      </c>
    </row>
    <row r="29" spans="1:13" x14ac:dyDescent="0.25">
      <c r="A29" s="16">
        <v>5</v>
      </c>
      <c r="B29" s="30" t="str">
        <f>Volumetrics_Master!B45</f>
        <v>C1</v>
      </c>
      <c r="C29" s="31" t="str">
        <f>Volumetrics_Master!C45</f>
        <v>Methane</v>
      </c>
      <c r="D29" s="19">
        <f>Component_Properties!D9</f>
        <v>16.042999999999999</v>
      </c>
      <c r="E29" s="22">
        <f>Volumetrics_Master!I45</f>
        <v>47.656000000000006</v>
      </c>
      <c r="F29" s="22">
        <f>Volumetrics_Master!J45</f>
        <v>23.242000000000004</v>
      </c>
      <c r="G29" s="22">
        <f>Volumetrics_Master!K45</f>
        <v>1.1999999999999999E-2</v>
      </c>
      <c r="H29" s="22">
        <f>Volumetrics_Master!L45</f>
        <v>9.9999999999999959E-4</v>
      </c>
      <c r="I29" s="5">
        <f t="shared" si="0"/>
        <v>2.0434682706542029</v>
      </c>
      <c r="J29" s="5">
        <f t="shared" si="1"/>
        <v>17.200978199883185</v>
      </c>
      <c r="K29" s="29">
        <f t="shared" si="2"/>
        <v>3971.3333333333344</v>
      </c>
      <c r="L29" s="5">
        <f t="shared" si="3"/>
        <v>4.775027600098845</v>
      </c>
      <c r="M29" s="5">
        <f>IF(OR(Component_Properties!F9=0,Component_Properties!H9=Component_Properties!F9),"",(LOG10(Component_Properties!G9/14.7)/(1/Component_Properties!F9-1/Component_Properties!H9))*(1/Component_Properties!F9-1/$B$15))</f>
        <v>2.4506498450984204</v>
      </c>
    </row>
    <row r="30" spans="1:13" x14ac:dyDescent="0.25">
      <c r="A30" s="16">
        <v>6</v>
      </c>
      <c r="B30" s="30" t="str">
        <f>Volumetrics_Master!B46</f>
        <v>C2</v>
      </c>
      <c r="C30" s="31" t="str">
        <f>Volumetrics_Master!C46</f>
        <v>Ethane</v>
      </c>
      <c r="D30" s="19">
        <f>Component_Properties!D10</f>
        <v>30.07</v>
      </c>
      <c r="E30" s="22">
        <f>Volumetrics_Master!I46</f>
        <v>14.083000000000002</v>
      </c>
      <c r="F30" s="22">
        <f>Volumetrics_Master!J46</f>
        <v>12.874000000000002</v>
      </c>
      <c r="G30" s="22">
        <f>Volumetrics_Master!K46</f>
        <v>0.12599999999999997</v>
      </c>
      <c r="H30" s="22">
        <f>Volumetrics_Master!L46</f>
        <v>1.9999999999999993E-2</v>
      </c>
      <c r="I30" s="5">
        <f t="shared" si="0"/>
        <v>1.1496367260870499</v>
      </c>
      <c r="J30" s="5">
        <f t="shared" si="1"/>
        <v>5.1629513334377561</v>
      </c>
      <c r="K30" s="29">
        <f t="shared" si="2"/>
        <v>111.76984126984131</v>
      </c>
      <c r="L30" s="5">
        <f t="shared" si="3"/>
        <v>3.2244158932231834</v>
      </c>
      <c r="M30" s="5">
        <f>IF(OR(Component_Properties!F10=0,Component_Properties!H10=Component_Properties!F10),"",(LOG10(Component_Properties!G10/14.7)/(1/Component_Properties!F10-1/Component_Properties!H10))*(1/Component_Properties!F10-1/$B$15))</f>
        <v>1.5337844518300516</v>
      </c>
    </row>
    <row r="31" spans="1:13" x14ac:dyDescent="0.25">
      <c r="A31" s="16">
        <v>7</v>
      </c>
      <c r="B31" s="30" t="str">
        <f>Volumetrics_Master!B47</f>
        <v>C3</v>
      </c>
      <c r="C31" s="31" t="str">
        <f>Volumetrics_Master!C47</f>
        <v>Propane</v>
      </c>
      <c r="D31" s="19">
        <f>Component_Properties!D11</f>
        <v>44.097000000000001</v>
      </c>
      <c r="E31" s="22">
        <f>Volumetrics_Master!I47</f>
        <v>14.820000000000002</v>
      </c>
      <c r="F31" s="22">
        <f>Volumetrics_Master!J47</f>
        <v>19.867000000000004</v>
      </c>
      <c r="G31" s="22">
        <f>Volumetrics_Master!K47</f>
        <v>0.93899999999999972</v>
      </c>
      <c r="H31" s="22">
        <f>Volumetrics_Master!L47</f>
        <v>0.21799999999999992</v>
      </c>
      <c r="I31" s="5">
        <f t="shared" si="0"/>
        <v>1.9447957080196392</v>
      </c>
      <c r="J31" s="5">
        <f t="shared" si="1"/>
        <v>5.9557405866152573</v>
      </c>
      <c r="K31" s="29">
        <f t="shared" si="2"/>
        <v>15.782747603833872</v>
      </c>
      <c r="L31" s="5">
        <f t="shared" si="3"/>
        <v>2.3742738704328796</v>
      </c>
      <c r="M31" s="5">
        <f>IF(OR(Component_Properties!F11=0,Component_Properties!H11=Component_Properties!F11),"",(LOG10(Component_Properties!G11/14.7)/(1/Component_Properties!F11-1/Component_Properties!H11))*(1/Component_Properties!F11-1/$B$15))</f>
        <v>0.86327995633371801</v>
      </c>
    </row>
    <row r="32" spans="1:13" x14ac:dyDescent="0.25">
      <c r="A32" s="16">
        <v>8</v>
      </c>
      <c r="B32" s="30" t="str">
        <f>Volumetrics_Master!B48</f>
        <v>iC4</v>
      </c>
      <c r="C32" s="31" t="str">
        <f>Volumetrics_Master!C48</f>
        <v>i-Butane</v>
      </c>
      <c r="D32" s="19">
        <f>Component_Properties!D12</f>
        <v>58.122999999999998</v>
      </c>
      <c r="E32" s="22">
        <f>Volumetrics_Master!I48</f>
        <v>3.6000000000000005</v>
      </c>
      <c r="F32" s="22">
        <f>Volumetrics_Master!J48</f>
        <v>6.3609999999999998</v>
      </c>
      <c r="G32" s="22">
        <f>Volumetrics_Master!K48</f>
        <v>0.7649999999999999</v>
      </c>
      <c r="H32" s="22">
        <f>Volumetrics_Master!L48</f>
        <v>0.23399999999999993</v>
      </c>
      <c r="I32" s="5">
        <f t="shared" si="0"/>
        <v>0.77245372807961343</v>
      </c>
      <c r="J32" s="5">
        <f t="shared" si="1"/>
        <v>1.7947141279707419</v>
      </c>
      <c r="K32" s="29">
        <f t="shared" si="2"/>
        <v>4.7058823529411775</v>
      </c>
      <c r="L32" s="5">
        <f t="shared" si="3"/>
        <v>1.848732324669351</v>
      </c>
      <c r="M32" s="5">
        <f>IF(OR(Component_Properties!F12=0,Component_Properties!H12=Component_Properties!F12),"",(LOG10(Component_Properties!G12/14.7)/(1/Component_Properties!F12-1/Component_Properties!H12))*(1/Component_Properties!F12-1/$B$15))</f>
        <v>0.40912766738336748</v>
      </c>
    </row>
    <row r="33" spans="1:13" x14ac:dyDescent="0.25">
      <c r="A33" s="16">
        <v>9</v>
      </c>
      <c r="B33" s="30" t="str">
        <f>Volumetrics_Master!B49</f>
        <v>nC4</v>
      </c>
      <c r="C33" s="31" t="str">
        <f>Volumetrics_Master!C49</f>
        <v>n-Butane</v>
      </c>
      <c r="D33" s="19">
        <f>Component_Properties!D13</f>
        <v>58.122999999999998</v>
      </c>
      <c r="E33" s="22">
        <f>Volumetrics_Master!I49</f>
        <v>7.4650000000000007</v>
      </c>
      <c r="F33" s="22">
        <f>Volumetrics_Master!J49</f>
        <v>13.190000000000001</v>
      </c>
      <c r="G33" s="22">
        <f>Volumetrics_Master!K49</f>
        <v>2.7449999999999997</v>
      </c>
      <c r="H33" s="22">
        <f>Volumetrics_Master!L49</f>
        <v>0.83999999999999964</v>
      </c>
      <c r="I33" s="5">
        <f t="shared" si="0"/>
        <v>1.9253441393476787</v>
      </c>
      <c r="J33" s="5">
        <f t="shared" si="1"/>
        <v>4.4733324501954002</v>
      </c>
      <c r="K33" s="29">
        <f t="shared" si="2"/>
        <v>2.7194899817850642</v>
      </c>
      <c r="L33" s="5">
        <f t="shared" si="3"/>
        <v>1.6105787223306147</v>
      </c>
      <c r="M33" s="5">
        <f>IF(OR(Component_Properties!F13=0,Component_Properties!H13=Component_Properties!F13),"",(LOG10(Component_Properties!G13/14.7)/(1/Component_Properties!F13-1/Component_Properties!H13))*(1/Component_Properties!F13-1/$B$15))</f>
        <v>0.24446910665923358</v>
      </c>
    </row>
    <row r="34" spans="1:13" x14ac:dyDescent="0.25">
      <c r="A34" s="16">
        <v>10</v>
      </c>
      <c r="B34" s="30" t="str">
        <f>Volumetrics_Master!B50</f>
        <v>NeoC5</v>
      </c>
      <c r="C34" s="31" t="str">
        <f>Volumetrics_Master!C50</f>
        <v>Neo-Pentane</v>
      </c>
      <c r="D34" s="19">
        <f>Component_Properties!D14</f>
        <v>72.150999999999996</v>
      </c>
      <c r="E34" s="22">
        <f>Volumetrics_Master!I50</f>
        <v>3.3000000000000008E-2</v>
      </c>
      <c r="F34" s="22">
        <f>Volumetrics_Master!J50</f>
        <v>7.2000000000000008E-2</v>
      </c>
      <c r="G34" s="22">
        <f>Volumetrics_Master!K50</f>
        <v>0</v>
      </c>
      <c r="H34" s="22">
        <f>Volumetrics_Master!L50</f>
        <v>0</v>
      </c>
      <c r="I34" s="5">
        <f t="shared" si="0"/>
        <v>6.3275123913386945E-3</v>
      </c>
      <c r="J34" s="5">
        <f t="shared" si="1"/>
        <v>1.1842993197457621E-2</v>
      </c>
      <c r="K34" s="29" t="str">
        <f t="shared" si="2"/>
        <v/>
      </c>
      <c r="L34" s="5" t="str">
        <f t="shared" si="3"/>
        <v/>
      </c>
      <c r="M34" s="5">
        <f>IF(OR(Component_Properties!F14=0,Component_Properties!H14=Component_Properties!F14),"",(LOG10(Component_Properties!G14/14.7)/(1/Component_Properties!F14-1/Component_Properties!H14))*(1/Component_Properties!F14-1/$B$15))</f>
        <v>0.31174901050425585</v>
      </c>
    </row>
    <row r="35" spans="1:13" x14ac:dyDescent="0.25">
      <c r="A35" s="16">
        <v>11</v>
      </c>
      <c r="B35" s="30" t="str">
        <f>Volumetrics_Master!B51</f>
        <v>iC5</v>
      </c>
      <c r="C35" s="31" t="str">
        <f>Volumetrics_Master!C51</f>
        <v>i-Pentane</v>
      </c>
      <c r="D35" s="19">
        <f>Component_Properties!D15</f>
        <v>72.150999999999996</v>
      </c>
      <c r="E35" s="22">
        <f>Volumetrics_Master!I51</f>
        <v>2.4820000000000007</v>
      </c>
      <c r="F35" s="22">
        <f>Volumetrics_Master!J51</f>
        <v>5.4430000000000005</v>
      </c>
      <c r="G35" s="22">
        <f>Volumetrics_Master!K51</f>
        <v>2.4959999999999996</v>
      </c>
      <c r="H35" s="22">
        <f>Volumetrics_Master!L51</f>
        <v>0.94799999999999951</v>
      </c>
      <c r="I35" s="5">
        <f t="shared" si="0"/>
        <v>1.343030113875936</v>
      </c>
      <c r="J35" s="5">
        <f t="shared" si="1"/>
        <v>2.5137045206557649</v>
      </c>
      <c r="K35" s="29">
        <f t="shared" si="2"/>
        <v>0.99439102564102611</v>
      </c>
      <c r="L35" s="5">
        <f t="shared" si="3"/>
        <v>1.1736484552080062</v>
      </c>
      <c r="M35" s="5">
        <f>IF(OR(Component_Properties!F15=0,Component_Properties!H15=Component_Properties!F15),"",(LOG10(Component_Properties!G15/14.7)/(1/Component_Properties!F15-1/Component_Properties!H15))*(1/Component_Properties!F15-1/$B$15))</f>
        <v>-0.18645269673629286</v>
      </c>
    </row>
    <row r="36" spans="1:13" x14ac:dyDescent="0.25">
      <c r="A36" s="16">
        <v>12</v>
      </c>
      <c r="B36" s="30" t="str">
        <f>Volumetrics_Master!B52</f>
        <v>nC5</v>
      </c>
      <c r="C36" s="31" t="str">
        <f>Volumetrics_Master!C52</f>
        <v>n-Pentane</v>
      </c>
      <c r="D36" s="19">
        <f>Component_Properties!D16</f>
        <v>72.150999999999996</v>
      </c>
      <c r="E36" s="22">
        <f>Volumetrics_Master!I52</f>
        <v>2.5870000000000006</v>
      </c>
      <c r="F36" s="22">
        <f>Volumetrics_Master!J52</f>
        <v>5.6750000000000007</v>
      </c>
      <c r="G36" s="22">
        <f>Volumetrics_Master!K52</f>
        <v>3.774999999999999</v>
      </c>
      <c r="H36" s="22">
        <f>Volumetrics_Master!L52</f>
        <v>1.4339999999999993</v>
      </c>
      <c r="I36" s="5">
        <f t="shared" si="0"/>
        <v>1.8067080562731577</v>
      </c>
      <c r="J36" s="5">
        <f t="shared" si="1"/>
        <v>3.3815550088093969</v>
      </c>
      <c r="K36" s="29">
        <f t="shared" si="2"/>
        <v>0.68529801324503348</v>
      </c>
      <c r="L36" s="5">
        <f t="shared" si="3"/>
        <v>1.0119707318070179</v>
      </c>
      <c r="M36" s="5">
        <f>IF(OR(Component_Properties!F16=0,Component_Properties!H16=Component_Properties!F16),"",(LOG10(Component_Properties!G16/14.7)/(1/Component_Properties!F16-1/Component_Properties!H16))*(1/Component_Properties!F16-1/$B$15))</f>
        <v>-0.31646708200062984</v>
      </c>
    </row>
    <row r="37" spans="1:13" x14ac:dyDescent="0.25">
      <c r="A37" s="16">
        <v>13</v>
      </c>
      <c r="B37" s="30" t="str">
        <f>Volumetrics_Master!B53</f>
        <v>C6</v>
      </c>
      <c r="C37" s="31" t="str">
        <f>Volumetrics_Master!C53</f>
        <v>Hexanes</v>
      </c>
      <c r="D37" s="19">
        <f>Component_Properties!D17</f>
        <v>86.177000000000007</v>
      </c>
      <c r="E37" s="22">
        <f>Volumetrics_Master!I53</f>
        <v>1.6130000000000002</v>
      </c>
      <c r="F37" s="22">
        <f>Volumetrics_Master!J53</f>
        <v>4.2260000000000009</v>
      </c>
      <c r="G37" s="22">
        <f>Volumetrics_Master!K53</f>
        <v>6.9409999999999989</v>
      </c>
      <c r="H37" s="22">
        <f>Volumetrics_Master!L53</f>
        <v>3.1499999999999986</v>
      </c>
      <c r="I37" s="5">
        <f t="shared" si="0"/>
        <v>3.2445611574038935</v>
      </c>
      <c r="J37" s="5">
        <f t="shared" si="1"/>
        <v>5.0843498173290689</v>
      </c>
      <c r="K37" s="29">
        <f t="shared" si="2"/>
        <v>0.23238726408298524</v>
      </c>
      <c r="L37" s="5">
        <f t="shared" si="3"/>
        <v>0.54230358204228357</v>
      </c>
      <c r="M37" s="5">
        <f>IF(OR(Component_Properties!F17=0,Component_Properties!H17=Component_Properties!F17),"",(LOG10(Component_Properties!G17/14.7)/(1/Component_Properties!F17-1/Component_Properties!H17))*(1/Component_Properties!F17-1/$B$15))</f>
        <v>-0.83192694828513525</v>
      </c>
    </row>
    <row r="38" spans="1:13" x14ac:dyDescent="0.25">
      <c r="A38" s="16">
        <v>14</v>
      </c>
      <c r="B38" s="30" t="str">
        <f>Volumetrics_Master!B54</f>
        <v>MCP</v>
      </c>
      <c r="C38" s="31" t="str">
        <f>Volumetrics_Master!C54</f>
        <v>M-C-Pentane</v>
      </c>
      <c r="D38" s="19">
        <f>Component_Properties!D18</f>
        <v>84.16</v>
      </c>
      <c r="E38" s="22">
        <f>Volumetrics_Master!I54</f>
        <v>0.16500000000000001</v>
      </c>
      <c r="F38" s="22">
        <f>Volumetrics_Master!J54</f>
        <v>0.42200000000000004</v>
      </c>
      <c r="G38" s="22">
        <f>Volumetrics_Master!K54</f>
        <v>1.2139999999999997</v>
      </c>
      <c r="H38" s="22">
        <f>Volumetrics_Master!L54</f>
        <v>0.53799999999999981</v>
      </c>
      <c r="I38" s="5">
        <f t="shared" si="0"/>
        <v>0.52780567448062077</v>
      </c>
      <c r="J38" s="5">
        <f t="shared" si="1"/>
        <v>0.84691370041765845</v>
      </c>
      <c r="K38" s="29">
        <f t="shared" si="2"/>
        <v>0.13591433278418455</v>
      </c>
      <c r="L38" s="5">
        <f t="shared" si="3"/>
        <v>0.30935651653034885</v>
      </c>
      <c r="M38" s="5">
        <f>IF(OR(Component_Properties!F18=0,Component_Properties!H18=Component_Properties!F18),"",(LOG10(Component_Properties!G18/14.7)/(1/Component_Properties!F18-1/Component_Properties!H18))*(1/Component_Properties!F18-1/$B$15))</f>
        <v>-0.86945497502827429</v>
      </c>
    </row>
    <row r="39" spans="1:13" x14ac:dyDescent="0.25">
      <c r="A39" s="16">
        <v>15</v>
      </c>
      <c r="B39" s="30" t="str">
        <f>Volumetrics_Master!B55</f>
        <v>Benzene</v>
      </c>
      <c r="C39" s="31" t="str">
        <f>Volumetrics_Master!C55</f>
        <v>Benzene</v>
      </c>
      <c r="D39" s="19">
        <f>Component_Properties!D19</f>
        <v>78.11</v>
      </c>
      <c r="E39" s="22">
        <f>Volumetrics_Master!I55</f>
        <v>4.3000000000000003E-2</v>
      </c>
      <c r="F39" s="22">
        <f>Volumetrics_Master!J55</f>
        <v>0.10300000000000001</v>
      </c>
      <c r="G39" s="22">
        <f>Volumetrics_Master!K55</f>
        <v>0.33999999999999997</v>
      </c>
      <c r="H39" s="22">
        <f>Volumetrics_Master!L55</f>
        <v>0.13999999999999996</v>
      </c>
      <c r="I39" s="5">
        <f t="shared" si="0"/>
        <v>0.13674836168778423</v>
      </c>
      <c r="J39" s="5">
        <f t="shared" si="1"/>
        <v>0.23642114939594902</v>
      </c>
      <c r="K39" s="29">
        <f t="shared" si="2"/>
        <v>0.12647058823529414</v>
      </c>
      <c r="L39" s="5">
        <f t="shared" si="3"/>
        <v>0.27808079759301274</v>
      </c>
      <c r="M39" s="5">
        <f>IF(OR(Component_Properties!F19=0,Component_Properties!H19=Component_Properties!F19),"",(LOG10(Component_Properties!G19/14.7)/(1/Component_Properties!F19-1/Component_Properties!H19))*(1/Component_Properties!F19-1/$B$15))</f>
        <v>-1.0181503181143818</v>
      </c>
    </row>
    <row r="40" spans="1:13" x14ac:dyDescent="0.25">
      <c r="A40" s="16">
        <v>16</v>
      </c>
      <c r="B40" s="30" t="str">
        <f>Volumetrics_Master!B56</f>
        <v>Cyclohex</v>
      </c>
      <c r="C40" s="31" t="str">
        <f>Volumetrics_Master!C56</f>
        <v>Cyclohexane</v>
      </c>
      <c r="D40" s="19">
        <f>Component_Properties!D20</f>
        <v>84.16</v>
      </c>
      <c r="E40" s="22">
        <f>Volumetrics_Master!I56</f>
        <v>0.16900000000000004</v>
      </c>
      <c r="F40" s="22">
        <f>Volumetrics_Master!J56</f>
        <v>0.43200000000000011</v>
      </c>
      <c r="G40" s="22">
        <f>Volumetrics_Master!K56</f>
        <v>0.77399999999999991</v>
      </c>
      <c r="H40" s="22">
        <f>Volumetrics_Master!L56</f>
        <v>0.34299999999999992</v>
      </c>
      <c r="I40" s="5">
        <f t="shared" si="0"/>
        <v>0.35082150837262693</v>
      </c>
      <c r="J40" s="5">
        <f t="shared" si="1"/>
        <v>0.56292600896028278</v>
      </c>
      <c r="K40" s="29">
        <f t="shared" si="2"/>
        <v>0.21834625322997422</v>
      </c>
      <c r="L40" s="5">
        <f t="shared" si="3"/>
        <v>0.51523700298646236</v>
      </c>
      <c r="M40" s="5">
        <f>IF(OR(Component_Properties!F20=0,Component_Properties!H20=Component_Properties!F20),"",(LOG10(Component_Properties!G20/14.7)/(1/Component_Properties!F20-1/Component_Properties!H20))*(1/Component_Properties!F20-1/$B$15))</f>
        <v>-1.0061874189062145</v>
      </c>
    </row>
    <row r="41" spans="1:13" x14ac:dyDescent="0.25">
      <c r="A41" s="16">
        <v>17</v>
      </c>
      <c r="B41" s="30" t="str">
        <f>Volumetrics_Master!B57</f>
        <v>C7</v>
      </c>
      <c r="C41" s="31" t="str">
        <f>Volumetrics_Master!C57</f>
        <v>Heptanes</v>
      </c>
      <c r="D41" s="19">
        <f>Component_Properties!D21</f>
        <v>100.20399999999999</v>
      </c>
      <c r="E41" s="22">
        <f>Volumetrics_Master!I57</f>
        <v>0.34100000000000008</v>
      </c>
      <c r="F41" s="22">
        <f>Volumetrics_Master!J57</f>
        <v>1.0380000000000003</v>
      </c>
      <c r="G41" s="22">
        <f>Volumetrics_Master!K57</f>
        <v>6.2729999999999997</v>
      </c>
      <c r="H41" s="22">
        <f>Volumetrics_Master!L57</f>
        <v>3.3089999999999988</v>
      </c>
      <c r="I41" s="5">
        <f t="shared" si="0"/>
        <v>3.1094197133231907</v>
      </c>
      <c r="J41" s="5">
        <f t="shared" si="1"/>
        <v>4.1904930000791838</v>
      </c>
      <c r="K41" s="29">
        <f t="shared" si="2"/>
        <v>5.4359955364259541E-2</v>
      </c>
      <c r="L41" s="5">
        <f t="shared" si="3"/>
        <v>-8.8629649489155207E-2</v>
      </c>
      <c r="M41" s="5">
        <f>IF(OR(Component_Properties!F21=0,Component_Properties!H21=Component_Properties!F21),"",(LOG10(Component_Properties!G21/14.7)/(1/Component_Properties!F21-1/Component_Properties!H21))*(1/Component_Properties!F21-1/$B$15))</f>
        <v>-1.3155197355664459</v>
      </c>
    </row>
    <row r="42" spans="1:13" x14ac:dyDescent="0.25">
      <c r="A42" s="16">
        <v>18</v>
      </c>
      <c r="B42" s="30" t="str">
        <f>Volumetrics_Master!B58</f>
        <v>MCH</v>
      </c>
      <c r="C42" s="31" t="str">
        <f>Volumetrics_Master!C58</f>
        <v>M-C-Hexane</v>
      </c>
      <c r="D42" s="19">
        <f>Component_Properties!D22</f>
        <v>98.19</v>
      </c>
      <c r="E42" s="22">
        <f>Volumetrics_Master!I58</f>
        <v>6.4000000000000001E-2</v>
      </c>
      <c r="F42" s="22">
        <f>Volumetrics_Master!J58</f>
        <v>0.19000000000000003</v>
      </c>
      <c r="G42" s="22">
        <f>Volumetrics_Master!K58</f>
        <v>1.3989999999999998</v>
      </c>
      <c r="H42" s="22">
        <f>Volumetrics_Master!L58</f>
        <v>0.72299999999999964</v>
      </c>
      <c r="I42" s="5">
        <f t="shared" si="0"/>
        <v>0.67615883188078407</v>
      </c>
      <c r="J42" s="5">
        <f t="shared" si="1"/>
        <v>0.92993436127674178</v>
      </c>
      <c r="K42" s="29">
        <f t="shared" si="2"/>
        <v>4.5746962115797006E-2</v>
      </c>
      <c r="L42" s="5">
        <f t="shared" si="3"/>
        <v>-0.16354648145225911</v>
      </c>
      <c r="M42" s="5">
        <f>IF(OR(Component_Properties!F22=0,Component_Properties!H22=Component_Properties!F22),"",(LOG10(Component_Properties!G22/14.7)/(1/Component_Properties!F22-1/Component_Properties!H22))*(1/Component_Properties!F22-1/$B$15))</f>
        <v>-1.3314210269988385</v>
      </c>
    </row>
    <row r="43" spans="1:13" x14ac:dyDescent="0.25">
      <c r="A43" s="16">
        <v>19</v>
      </c>
      <c r="B43" s="30" t="str">
        <f>Volumetrics_Master!B59</f>
        <v>Toluene</v>
      </c>
      <c r="C43" s="31" t="str">
        <f>Volumetrics_Master!C59</f>
        <v>Toluene</v>
      </c>
      <c r="D43" s="19">
        <f>Component_Properties!D23</f>
        <v>92.14</v>
      </c>
      <c r="E43" s="22">
        <f>Volumetrics_Master!I59</f>
        <v>4.1000000000000009E-2</v>
      </c>
      <c r="F43" s="22">
        <f>Volumetrics_Master!J59</f>
        <v>0.11400000000000002</v>
      </c>
      <c r="G43" s="22">
        <f>Volumetrics_Master!K59</f>
        <v>1.0329999999999997</v>
      </c>
      <c r="H43" s="22">
        <f>Volumetrics_Master!L59</f>
        <v>0.50099999999999978</v>
      </c>
      <c r="I43" s="5">
        <f t="shared" si="0"/>
        <v>0.46698962089655427</v>
      </c>
      <c r="J43" s="5">
        <f t="shared" si="1"/>
        <v>0.68443128159496525</v>
      </c>
      <c r="K43" s="29">
        <f t="shared" si="2"/>
        <v>3.9690222652468556E-2</v>
      </c>
      <c r="L43" s="5">
        <f t="shared" si="3"/>
        <v>-0.22522520574420365</v>
      </c>
      <c r="M43" s="5">
        <f>IF(OR(Component_Properties!F23=0,Component_Properties!H23=Component_Properties!F23),"",(LOG10(Component_Properties!G23/14.7)/(1/Component_Properties!F23-1/Component_Properties!H23))*(1/Component_Properties!F23-1/$B$15))</f>
        <v>-1.5015189122695265</v>
      </c>
    </row>
    <row r="44" spans="1:13" x14ac:dyDescent="0.25">
      <c r="A44" s="16">
        <v>20</v>
      </c>
      <c r="B44" s="30" t="str">
        <f>Volumetrics_Master!B60</f>
        <v>C8</v>
      </c>
      <c r="C44" s="31" t="str">
        <f>Volumetrics_Master!C60</f>
        <v>Octanes</v>
      </c>
      <c r="D44" s="19">
        <f>Component_Properties!D24</f>
        <v>114.23099999999999</v>
      </c>
      <c r="E44" s="22">
        <f>Volumetrics_Master!I60</f>
        <v>0.13400000000000004</v>
      </c>
      <c r="F44" s="22">
        <f>Volumetrics_Master!J60</f>
        <v>0.46600000000000008</v>
      </c>
      <c r="G44" s="22">
        <f>Volumetrics_Master!K60</f>
        <v>6.4189999999999987</v>
      </c>
      <c r="H44" s="22">
        <f>Volumetrics_Master!L60</f>
        <v>3.8599999999999981</v>
      </c>
      <c r="I44" s="5">
        <f t="shared" si="0"/>
        <v>3.5617280964416156</v>
      </c>
      <c r="J44" s="5">
        <f t="shared" si="1"/>
        <v>4.2106351705394527</v>
      </c>
      <c r="K44" s="29">
        <f t="shared" si="2"/>
        <v>2.0875525782832225E-2</v>
      </c>
      <c r="L44" s="5">
        <f t="shared" si="3"/>
        <v>-0.5042713182637889</v>
      </c>
      <c r="M44" s="5">
        <f>IF(OR(Component_Properties!F24=0,Component_Properties!H24=Component_Properties!F24),"",(LOG10(Component_Properties!G24/14.7)/(1/Component_Properties!F24-1/Component_Properties!H24))*(1/Component_Properties!F24-1/$B$15))</f>
        <v>-1.7739409555962344</v>
      </c>
    </row>
    <row r="45" spans="1:13" x14ac:dyDescent="0.25">
      <c r="A45" s="16">
        <v>21</v>
      </c>
      <c r="B45" s="30" t="str">
        <f>Volumetrics_Master!B61</f>
        <v>EBenzene</v>
      </c>
      <c r="C45" s="31" t="str">
        <f>Volumetrics_Master!C61</f>
        <v>E-Benzene</v>
      </c>
      <c r="D45" s="19">
        <f>Component_Properties!D25</f>
        <v>106.17</v>
      </c>
      <c r="E45" s="22">
        <f>Volumetrics_Master!I61</f>
        <v>9.0000000000000011E-3</v>
      </c>
      <c r="F45" s="22">
        <f>Volumetrics_Master!J61</f>
        <v>3.0000000000000002E-2</v>
      </c>
      <c r="G45" s="22">
        <f>Volumetrics_Master!K61</f>
        <v>0.68299999999999994</v>
      </c>
      <c r="H45" s="22">
        <f>Volumetrics_Master!L61</f>
        <v>0.38199999999999984</v>
      </c>
      <c r="I45" s="5">
        <f t="shared" si="0"/>
        <v>0.35106549497567735</v>
      </c>
      <c r="J45" s="5">
        <f t="shared" si="1"/>
        <v>0.44653670059640538</v>
      </c>
      <c r="K45" s="29">
        <f t="shared" si="2"/>
        <v>1.3177159590043926E-2</v>
      </c>
      <c r="L45" s="5">
        <f t="shared" si="3"/>
        <v>-0.70408693518652632</v>
      </c>
      <c r="M45" s="5">
        <f>IF(OR(Component_Properties!F25=0,Component_Properties!H25=Component_Properties!F25),"",(LOG10(Component_Properties!G25/14.7)/(1/Component_Properties!F25-1/Component_Properties!H25))*(1/Component_Properties!F25-1/$B$15))</f>
        <v>-1.906300307351285</v>
      </c>
    </row>
    <row r="46" spans="1:13" x14ac:dyDescent="0.25">
      <c r="A46" s="16">
        <v>22</v>
      </c>
      <c r="B46" s="30" t="str">
        <f>Volumetrics_Master!B62</f>
        <v>MPXylenes</v>
      </c>
      <c r="C46" s="31" t="str">
        <f>Volumetrics_Master!C62</f>
        <v>M/P-Xylenes</v>
      </c>
      <c r="D46" s="19">
        <f>Component_Properties!D26</f>
        <v>106.17</v>
      </c>
      <c r="E46" s="22">
        <f>Volumetrics_Master!I62</f>
        <v>1.0000000000000002E-2</v>
      </c>
      <c r="F46" s="22">
        <f>Volumetrics_Master!J62</f>
        <v>3.3000000000000008E-2</v>
      </c>
      <c r="G46" s="22">
        <f>Volumetrics_Master!K62</f>
        <v>1.2759999999999998</v>
      </c>
      <c r="H46" s="22">
        <f>Volumetrics_Master!L62</f>
        <v>0.71299999999999963</v>
      </c>
      <c r="I46" s="5">
        <f t="shared" si="0"/>
        <v>0.65324016074846758</v>
      </c>
      <c r="J46" s="5">
        <f t="shared" si="1"/>
        <v>0.83088685801461482</v>
      </c>
      <c r="K46" s="29">
        <f t="shared" si="2"/>
        <v>7.836990595611288E-3</v>
      </c>
      <c r="L46" s="5">
        <f t="shared" si="3"/>
        <v>-0.92975941532946216</v>
      </c>
      <c r="M46" s="5">
        <f>IF(OR(Component_Properties!F26=0,Component_Properties!H26=Component_Properties!F26),"",(LOG10(Component_Properties!G26/14.7)/(1/Component_Properties!F26-1/Component_Properties!H26))*(1/Component_Properties!F26-1/$B$15))</f>
        <v>-1.9306986866601985</v>
      </c>
    </row>
    <row r="47" spans="1:13" x14ac:dyDescent="0.25">
      <c r="A47" s="16">
        <v>23</v>
      </c>
      <c r="B47" s="30" t="str">
        <f>Volumetrics_Master!B63</f>
        <v>OXylene</v>
      </c>
      <c r="C47" s="31" t="str">
        <f>Volumetrics_Master!C63</f>
        <v>O-Xylene</v>
      </c>
      <c r="D47" s="19">
        <f>Component_Properties!D27</f>
        <v>106.17</v>
      </c>
      <c r="E47" s="22">
        <f>Volumetrics_Master!I63</f>
        <v>6.000000000000001E-3</v>
      </c>
      <c r="F47" s="22">
        <f>Volumetrics_Master!J63</f>
        <v>1.8000000000000002E-2</v>
      </c>
      <c r="G47" s="22">
        <f>Volumetrics_Master!K63</f>
        <v>0.61899999999999988</v>
      </c>
      <c r="H47" s="22">
        <f>Volumetrics_Master!L63</f>
        <v>0.34599999999999981</v>
      </c>
      <c r="I47" s="5">
        <f t="shared" si="0"/>
        <v>0.31717466577279019</v>
      </c>
      <c r="J47" s="5">
        <f t="shared" si="1"/>
        <v>0.40342936230962206</v>
      </c>
      <c r="K47" s="29">
        <f t="shared" si="2"/>
        <v>9.6930533117932181E-3</v>
      </c>
      <c r="L47" s="5">
        <f t="shared" si="3"/>
        <v>-0.83744813958079289</v>
      </c>
      <c r="M47" s="5">
        <f>IF(OR(Component_Properties!F27=0,Component_Properties!H27=Component_Properties!F27),"",(LOG10(Component_Properties!G27/14.7)/(1/Component_Properties!F27-1/Component_Properties!H27))*(1/Component_Properties!F27-1/$B$15))</f>
        <v>-2.0721522961615375</v>
      </c>
    </row>
    <row r="48" spans="1:13" x14ac:dyDescent="0.25">
      <c r="A48" s="16">
        <v>24</v>
      </c>
      <c r="B48" s="30" t="str">
        <f>Volumetrics_Master!B64</f>
        <v>C9</v>
      </c>
      <c r="C48" s="31" t="str">
        <f>Volumetrics_Master!C64</f>
        <v>Nonanes</v>
      </c>
      <c r="D48" s="19">
        <f>Component_Properties!D28</f>
        <v>128.25800000000001</v>
      </c>
      <c r="E48" s="22">
        <f>Volumetrics_Master!I64</f>
        <v>5.800000000000001E-2</v>
      </c>
      <c r="F48" s="22">
        <f>Volumetrics_Master!J64</f>
        <v>0.22700000000000004</v>
      </c>
      <c r="G48" s="22">
        <f>Volumetrics_Master!K64</f>
        <v>5.3679999999999994</v>
      </c>
      <c r="H48" s="22">
        <f>Volumetrics_Master!L64</f>
        <v>3.6249999999999982</v>
      </c>
      <c r="I48" s="5">
        <f t="shared" si="0"/>
        <v>3.3263765679754305</v>
      </c>
      <c r="J48" s="5">
        <f t="shared" si="1"/>
        <v>3.5023357683069696</v>
      </c>
      <c r="K48" s="29">
        <f t="shared" si="2"/>
        <v>1.0804769001490315E-2</v>
      </c>
      <c r="L48" s="5">
        <f t="shared" si="3"/>
        <v>-0.79029325454231703</v>
      </c>
      <c r="M48" s="5">
        <f>IF(OR(Component_Properties!F28=0,Component_Properties!H28=Component_Properties!F28),"",(LOG10(Component_Properties!G28/14.7)/(1/Component_Properties!F28-1/Component_Properties!H28))*(1/Component_Properties!F28-1/$B$15))</f>
        <v>-2.2085498128357286</v>
      </c>
    </row>
    <row r="49" spans="1:13" x14ac:dyDescent="0.25">
      <c r="A49" s="16">
        <v>25</v>
      </c>
      <c r="B49" s="30" t="str">
        <f>Volumetrics_Master!B65</f>
        <v>TMB124</v>
      </c>
      <c r="C49" s="31" t="str">
        <f>Volumetrics_Master!C65</f>
        <v>1,2,4-Trimethylbenzene</v>
      </c>
      <c r="D49" s="19">
        <f>Component_Properties!D29</f>
        <v>120.19499999999999</v>
      </c>
      <c r="E49" s="22">
        <f>Volumetrics_Master!I65</f>
        <v>0</v>
      </c>
      <c r="F49" s="22">
        <f>Volumetrics_Master!J65</f>
        <v>0</v>
      </c>
      <c r="G49" s="22">
        <f>Volumetrics_Master!K65</f>
        <v>0.7569999999999999</v>
      </c>
      <c r="H49" s="22">
        <f>Volumetrics_Master!L65</f>
        <v>0.47899999999999976</v>
      </c>
      <c r="I49" s="5">
        <f t="shared" si="0"/>
        <v>0.43690446617428819</v>
      </c>
      <c r="J49" s="5">
        <f t="shared" si="1"/>
        <v>0.49087499815616104</v>
      </c>
      <c r="K49" s="29">
        <f t="shared" si="2"/>
        <v>0</v>
      </c>
      <c r="L49" s="5" t="str">
        <f t="shared" si="3"/>
        <v/>
      </c>
      <c r="M49" s="5">
        <f>IF(OR(Component_Properties!F29=0,Component_Properties!H29=Component_Properties!F29),"",(LOG10(Component_Properties!G29/14.7)/(1/Component_Properties!F29-1/Component_Properties!H29))*(1/Component_Properties!F29-1/$B$15))</f>
        <v>-2.9705870061266326</v>
      </c>
    </row>
    <row r="50" spans="1:13" x14ac:dyDescent="0.25">
      <c r="A50" s="16">
        <v>26</v>
      </c>
      <c r="B50" s="30" t="str">
        <f>Volumetrics_Master!B66</f>
        <v>C10</v>
      </c>
      <c r="C50" s="31" t="str">
        <f>Volumetrics_Master!C66</f>
        <v>Decanes</v>
      </c>
      <c r="D50" s="19">
        <f>Component_Properties!D30</f>
        <v>142.285</v>
      </c>
      <c r="E50" s="22">
        <f>Volumetrics_Master!I66</f>
        <v>2.0000000000000004E-2</v>
      </c>
      <c r="F50" s="22">
        <f>Volumetrics_Master!J66</f>
        <v>8.8000000000000009E-2</v>
      </c>
      <c r="G50" s="22">
        <f>Volumetrics_Master!K66</f>
        <v>6.2159999999999993</v>
      </c>
      <c r="H50" s="22">
        <f>Volumetrics_Master!L66</f>
        <v>4.6559999999999979</v>
      </c>
      <c r="I50" s="5">
        <f t="shared" si="0"/>
        <v>4.2545544916161768</v>
      </c>
      <c r="J50" s="5">
        <f t="shared" si="1"/>
        <v>4.0379952376302004</v>
      </c>
      <c r="K50" s="29">
        <f t="shared" si="2"/>
        <v>3.2175032175032186E-3</v>
      </c>
      <c r="L50" s="5">
        <f t="shared" si="3"/>
        <v>-1.3163897510731952</v>
      </c>
      <c r="M50" s="5">
        <f>IF(OR(Component_Properties!F30=0,Component_Properties!H30=Component_Properties!F30),"",(LOG10(Component_Properties!G30/14.7)/(1/Component_Properties!F30-1/Component_Properties!H30))*(1/Component_Properties!F30-1/$B$15))</f>
        <v>-2.6259521828766728</v>
      </c>
    </row>
    <row r="51" spans="1:13" x14ac:dyDescent="0.25">
      <c r="A51" s="16">
        <v>27</v>
      </c>
      <c r="B51" s="30" t="str">
        <f>Volumetrics_Master!B67</f>
        <v>C11</v>
      </c>
      <c r="C51" s="31" t="str">
        <f>Volumetrics_Master!C67</f>
        <v>Undecanes</v>
      </c>
      <c r="D51" s="19">
        <f>Component_Properties!D31</f>
        <v>156</v>
      </c>
      <c r="E51" s="22">
        <f>Volumetrics_Master!I67</f>
        <v>8.0000000000000002E-3</v>
      </c>
      <c r="F51" s="22">
        <f>Volumetrics_Master!J67</f>
        <v>3.6000000000000004E-2</v>
      </c>
      <c r="G51" s="22">
        <f>Volumetrics_Master!K67</f>
        <v>5.8809999999999993</v>
      </c>
      <c r="H51" s="22">
        <f>Volumetrics_Master!L67</f>
        <v>4.5509999999999984</v>
      </c>
      <c r="I51" s="5">
        <f t="shared" si="0"/>
        <v>4.1542122437931344</v>
      </c>
      <c r="J51" s="5">
        <f t="shared" si="1"/>
        <v>3.5961261097693624</v>
      </c>
      <c r="K51" s="29">
        <f t="shared" si="2"/>
        <v>1.3603128719605511E-3</v>
      </c>
      <c r="L51" s="5">
        <f t="shared" si="3"/>
        <v>-1.6902699333544127</v>
      </c>
      <c r="M51" s="5">
        <f>IF(OR(Component_Properties!F31=0,Component_Properties!H31=Component_Properties!F31),"",(LOG10(Component_Properties!G31/14.7)/(1/Component_Properties!F31-1/Component_Properties!H31))*(1/Component_Properties!F31-1/$B$15))</f>
        <v>-3.0780090930388293</v>
      </c>
    </row>
    <row r="52" spans="1:13" x14ac:dyDescent="0.25">
      <c r="A52" s="16">
        <v>28</v>
      </c>
      <c r="B52" s="30" t="str">
        <f>Volumetrics_Master!B68</f>
        <v>C12</v>
      </c>
      <c r="C52" s="31" t="str">
        <f>Volumetrics_Master!C68</f>
        <v>Dodecanes</v>
      </c>
      <c r="D52" s="19">
        <f>Component_Properties!D32</f>
        <v>170</v>
      </c>
      <c r="E52" s="22">
        <f>Volumetrics_Master!I68</f>
        <v>5.000000000000001E-3</v>
      </c>
      <c r="F52" s="22">
        <f>Volumetrics_Master!J68</f>
        <v>2.3000000000000003E-2</v>
      </c>
      <c r="G52" s="22">
        <f>Volumetrics_Master!K68</f>
        <v>4.8099999999999987</v>
      </c>
      <c r="H52" s="22">
        <f>Volumetrics_Master!L68</f>
        <v>4.0769999999999982</v>
      </c>
      <c r="I52" s="5">
        <f t="shared" si="0"/>
        <v>3.7207258995210113</v>
      </c>
      <c r="J52" s="5">
        <f t="shared" si="1"/>
        <v>2.9556267343011782</v>
      </c>
      <c r="K52" s="29">
        <f t="shared" si="2"/>
        <v>1.03950103950104E-3</v>
      </c>
      <c r="L52" s="5">
        <f t="shared" si="3"/>
        <v>-1.8070838129821316</v>
      </c>
      <c r="M52" s="5">
        <f>IF(OR(Component_Properties!F32=0,Component_Properties!H32=Component_Properties!F32),"",(LOG10(Component_Properties!G32/14.7)/(1/Component_Properties!F32-1/Component_Properties!H32))*(1/Component_Properties!F32-1/$B$15))</f>
        <v>-3.4829846956034136</v>
      </c>
    </row>
    <row r="53" spans="1:13" x14ac:dyDescent="0.25">
      <c r="A53" s="16">
        <v>29</v>
      </c>
      <c r="B53" s="30" t="str">
        <f>Volumetrics_Master!B69</f>
        <v>C13</v>
      </c>
      <c r="C53" s="31" t="str">
        <f>Volumetrics_Master!C69</f>
        <v>Tridecanes</v>
      </c>
      <c r="D53" s="19">
        <f>Component_Properties!D33</f>
        <v>184</v>
      </c>
      <c r="E53" s="22">
        <f>Volumetrics_Master!I69</f>
        <v>0</v>
      </c>
      <c r="F53" s="22">
        <f>Volumetrics_Master!J69</f>
        <v>0</v>
      </c>
      <c r="G53" s="22">
        <f>Volumetrics_Master!K69</f>
        <v>4.2449999999999992</v>
      </c>
      <c r="H53" s="22">
        <f>Volumetrics_Master!L69</f>
        <v>3.9109999999999987</v>
      </c>
      <c r="I53" s="5">
        <f t="shared" si="0"/>
        <v>3.5672930421871425</v>
      </c>
      <c r="J53" s="5">
        <f t="shared" si="1"/>
        <v>2.6181335379143404</v>
      </c>
      <c r="K53" s="29">
        <f t="shared" si="2"/>
        <v>0</v>
      </c>
      <c r="L53" s="5" t="str">
        <f t="shared" si="3"/>
        <v/>
      </c>
      <c r="M53" s="5">
        <f>IF(OR(Component_Properties!F33=0,Component_Properties!H33=Component_Properties!F33),"",(LOG10(Component_Properties!G33/14.7)/(1/Component_Properties!F33-1/Component_Properties!H33))*(1/Component_Properties!F33-1/$B$15))</f>
        <v>-3.9010546803971451</v>
      </c>
    </row>
    <row r="54" spans="1:13" x14ac:dyDescent="0.25">
      <c r="A54" s="16">
        <v>30</v>
      </c>
      <c r="B54" s="30" t="str">
        <f>Volumetrics_Master!B70</f>
        <v>C14</v>
      </c>
      <c r="C54" s="31" t="str">
        <f>Volumetrics_Master!C70</f>
        <v>Tetradecanes</v>
      </c>
      <c r="D54" s="19">
        <f>Component_Properties!D34</f>
        <v>198</v>
      </c>
      <c r="E54" s="22">
        <f>Volumetrics_Master!I70</f>
        <v>0</v>
      </c>
      <c r="F54" s="22">
        <f>Volumetrics_Master!J70</f>
        <v>0</v>
      </c>
      <c r="G54" s="22">
        <f>Volumetrics_Master!K70</f>
        <v>3.6689999999999992</v>
      </c>
      <c r="H54" s="22">
        <f>Volumetrics_Master!L70</f>
        <v>3.6699999999999982</v>
      </c>
      <c r="I54" s="5">
        <f t="shared" si="0"/>
        <v>3.3474726322748176</v>
      </c>
      <c r="J54" s="5">
        <f t="shared" si="1"/>
        <v>2.2830881242530077</v>
      </c>
      <c r="K54" s="29">
        <f t="shared" si="2"/>
        <v>0</v>
      </c>
      <c r="L54" s="5" t="str">
        <f t="shared" si="3"/>
        <v/>
      </c>
      <c r="M54" s="5">
        <f>IF(OR(Component_Properties!F34=0,Component_Properties!H34=Component_Properties!F34),"",(LOG10(Component_Properties!G34/14.7)/(1/Component_Properties!F34-1/Component_Properties!H34))*(1/Component_Properties!F34-1/$B$15))</f>
        <v>-4.3127503978208219</v>
      </c>
    </row>
    <row r="55" spans="1:13" x14ac:dyDescent="0.25">
      <c r="A55" s="16">
        <v>31</v>
      </c>
      <c r="B55" s="30" t="str">
        <f>Volumetrics_Master!B71</f>
        <v>C15</v>
      </c>
      <c r="C55" s="31" t="str">
        <f>Volumetrics_Master!C71</f>
        <v>Pentadecanes</v>
      </c>
      <c r="D55" s="19">
        <f>Component_Properties!D35</f>
        <v>212</v>
      </c>
      <c r="E55" s="22">
        <f>Volumetrics_Master!I71</f>
        <v>0</v>
      </c>
      <c r="F55" s="22">
        <f>Volumetrics_Master!J71</f>
        <v>0</v>
      </c>
      <c r="G55" s="22">
        <f>Volumetrics_Master!K71</f>
        <v>3.3219999999999992</v>
      </c>
      <c r="H55" s="22">
        <f>Volumetrics_Master!L71</f>
        <v>3.6029999999999984</v>
      </c>
      <c r="I55" s="5">
        <f t="shared" si="0"/>
        <v>3.2863607340834244</v>
      </c>
      <c r="J55" s="5">
        <f t="shared" si="1"/>
        <v>2.0933902746817004</v>
      </c>
      <c r="K55" s="29">
        <f t="shared" si="2"/>
        <v>0</v>
      </c>
      <c r="L55" s="5" t="str">
        <f t="shared" si="3"/>
        <v/>
      </c>
      <c r="M55" s="5">
        <f>IF(OR(Component_Properties!F35=0,Component_Properties!H35=Component_Properties!F35),"",(LOG10(Component_Properties!G35/14.7)/(1/Component_Properties!F35-1/Component_Properties!H35))*(1/Component_Properties!F35-1/$B$15))</f>
        <v>-4.6965286349142445</v>
      </c>
    </row>
    <row r="56" spans="1:13" x14ac:dyDescent="0.25">
      <c r="A56" s="16">
        <v>32</v>
      </c>
      <c r="B56" s="30" t="str">
        <f>Volumetrics_Master!B72</f>
        <v>C16</v>
      </c>
      <c r="C56" s="31" t="str">
        <f>Volumetrics_Master!C72</f>
        <v>Hexadecanes</v>
      </c>
      <c r="D56" s="19">
        <f>Component_Properties!D36</f>
        <v>226</v>
      </c>
      <c r="E56" s="22">
        <f>Volumetrics_Master!I72</f>
        <v>0</v>
      </c>
      <c r="F56" s="22">
        <f>Volumetrics_Master!J72</f>
        <v>0</v>
      </c>
      <c r="G56" s="22">
        <f>Volumetrics_Master!K72</f>
        <v>2.7619999999999996</v>
      </c>
      <c r="H56" s="22">
        <f>Volumetrics_Master!L72</f>
        <v>3.2279999999999989</v>
      </c>
      <c r="I56" s="5">
        <f t="shared" si="0"/>
        <v>2.9443165277883141</v>
      </c>
      <c r="J56" s="5">
        <f t="shared" si="1"/>
        <v>1.759328296987732</v>
      </c>
      <c r="K56" s="29">
        <f t="shared" si="2"/>
        <v>0</v>
      </c>
      <c r="L56" s="5" t="str">
        <f t="shared" si="3"/>
        <v/>
      </c>
      <c r="M56" s="5">
        <f>IF(OR(Component_Properties!F36=0,Component_Properties!H36=Component_Properties!F36),"",(LOG10(Component_Properties!G36/14.7)/(1/Component_Properties!F36-1/Component_Properties!H36))*(1/Component_Properties!F36-1/$B$15))</f>
        <v>-5.0452914619956131</v>
      </c>
    </row>
    <row r="57" spans="1:13" x14ac:dyDescent="0.25">
      <c r="A57" s="16">
        <v>33</v>
      </c>
      <c r="B57" s="30" t="str">
        <f>Volumetrics_Master!B73</f>
        <v>C17</v>
      </c>
      <c r="C57" s="31" t="str">
        <f>Volumetrics_Master!C73</f>
        <v>Heptadecanes</v>
      </c>
      <c r="D57" s="19">
        <f>Component_Properties!D37</f>
        <v>240</v>
      </c>
      <c r="E57" s="22">
        <f>Volumetrics_Master!I73</f>
        <v>0</v>
      </c>
      <c r="F57" s="22">
        <f>Volumetrics_Master!J73</f>
        <v>0</v>
      </c>
      <c r="G57" s="22">
        <f>Volumetrics_Master!K73</f>
        <v>2.3199999999999994</v>
      </c>
      <c r="H57" s="22">
        <f>Volumetrics_Master!L73</f>
        <v>2.8949999999999987</v>
      </c>
      <c r="I57" s="5">
        <f t="shared" ref="I57:I76" si="4">$B$18*F57+$B$19*H57</f>
        <v>2.6405812725982551</v>
      </c>
      <c r="J57" s="5">
        <f t="shared" ref="J57:J76" si="5">IF(SUMPRODUCT($I$25:$I$76,1/$D$25:$D$76)=0,0,(I57/D57)/SUMPRODUCT($I$25:$I$76,1/$D$25:$D$76)*100)</f>
        <v>1.485795803477596</v>
      </c>
      <c r="K57" s="29">
        <f t="shared" ref="K57:K76" si="6">IF(G57=0,"",E57/G57)</f>
        <v>0</v>
      </c>
      <c r="L57" s="5" t="str">
        <f t="shared" ref="L57:L76" si="7">IF(OR(K57="",K57=0),"",LOG10(K57*$B$13))</f>
        <v/>
      </c>
      <c r="M57" s="5">
        <f>IF(OR(Component_Properties!F37=0,Component_Properties!H37=Component_Properties!F37),"",(LOG10(Component_Properties!G37/14.7)/(1/Component_Properties!F37-1/Component_Properties!H37))*(1/Component_Properties!F37-1/$B$15))</f>
        <v>-5.3610723069340978</v>
      </c>
    </row>
    <row r="58" spans="1:13" x14ac:dyDescent="0.25">
      <c r="A58" s="16">
        <v>34</v>
      </c>
      <c r="B58" s="30" t="str">
        <f>Volumetrics_Master!B74</f>
        <v>C18</v>
      </c>
      <c r="C58" s="31" t="str">
        <f>Volumetrics_Master!C74</f>
        <v>Octadecanes</v>
      </c>
      <c r="D58" s="19">
        <f>Component_Properties!D38</f>
        <v>254</v>
      </c>
      <c r="E58" s="22">
        <f>Volumetrics_Master!I74</f>
        <v>0</v>
      </c>
      <c r="F58" s="22">
        <f>Volumetrics_Master!J74</f>
        <v>0</v>
      </c>
      <c r="G58" s="22">
        <f>Volumetrics_Master!K74</f>
        <v>2.0899999999999994</v>
      </c>
      <c r="H58" s="22">
        <f>Volumetrics_Master!L74</f>
        <v>2.7619999999999987</v>
      </c>
      <c r="I58" s="5">
        <f t="shared" si="4"/>
        <v>2.5192695940989225</v>
      </c>
      <c r="J58" s="5">
        <f t="shared" si="5"/>
        <v>1.3394045152642062</v>
      </c>
      <c r="K58" s="29">
        <f t="shared" si="6"/>
        <v>0</v>
      </c>
      <c r="L58" s="5" t="str">
        <f t="shared" si="7"/>
        <v/>
      </c>
      <c r="M58" s="5">
        <f>IF(OR(Component_Properties!F38=0,Component_Properties!H38=Component_Properties!F38),"",(LOG10(Component_Properties!G38/14.7)/(1/Component_Properties!F38-1/Component_Properties!H38))*(1/Component_Properties!F38-1/$B$15))</f>
        <v>-5.7160580035210442</v>
      </c>
    </row>
    <row r="59" spans="1:13" x14ac:dyDescent="0.25">
      <c r="A59" s="16">
        <v>35</v>
      </c>
      <c r="B59" s="30" t="str">
        <f>Volumetrics_Master!B75</f>
        <v>C19</v>
      </c>
      <c r="C59" s="31" t="str">
        <f>Volumetrics_Master!C75</f>
        <v>Nonadecanes</v>
      </c>
      <c r="D59" s="19">
        <f>Component_Properties!D39</f>
        <v>268</v>
      </c>
      <c r="E59" s="22">
        <f>Volumetrics_Master!I75</f>
        <v>0</v>
      </c>
      <c r="F59" s="22">
        <f>Volumetrics_Master!J75</f>
        <v>0</v>
      </c>
      <c r="G59" s="22">
        <f>Volumetrics_Master!K75</f>
        <v>2.0009999999999994</v>
      </c>
      <c r="H59" s="22">
        <f>Volumetrics_Master!L75</f>
        <v>2.7699999999999987</v>
      </c>
      <c r="I59" s="5">
        <f t="shared" si="4"/>
        <v>2.5265665371665516</v>
      </c>
      <c r="J59" s="5">
        <f t="shared" si="5"/>
        <v>1.2731124818290747</v>
      </c>
      <c r="K59" s="29">
        <f t="shared" si="6"/>
        <v>0</v>
      </c>
      <c r="L59" s="5" t="str">
        <f t="shared" si="7"/>
        <v/>
      </c>
      <c r="M59" s="5">
        <f>IF(OR(Component_Properties!F39=0,Component_Properties!H39=Component_Properties!F39),"",(LOG10(Component_Properties!G39/14.7)/(1/Component_Properties!F39-1/Component_Properties!H39))*(1/Component_Properties!F39-1/$B$15))</f>
        <v>-5.9351304396269704</v>
      </c>
    </row>
    <row r="60" spans="1:13" x14ac:dyDescent="0.25">
      <c r="A60" s="16">
        <v>36</v>
      </c>
      <c r="B60" s="30" t="str">
        <f>Volumetrics_Master!B76</f>
        <v>C20</v>
      </c>
      <c r="C60" s="31" t="str">
        <f>Volumetrics_Master!C76</f>
        <v>Eicosanes</v>
      </c>
      <c r="D60" s="19">
        <f>Component_Properties!D40</f>
        <v>282</v>
      </c>
      <c r="E60" s="22">
        <f>Volumetrics_Master!I76</f>
        <v>0</v>
      </c>
      <c r="F60" s="22">
        <f>Volumetrics_Master!J76</f>
        <v>0</v>
      </c>
      <c r="G60" s="22">
        <f>Volumetrics_Master!K76</f>
        <v>1.7299999999999995</v>
      </c>
      <c r="H60" s="22">
        <f>Volumetrics_Master!L76</f>
        <v>2.5039999999999991</v>
      </c>
      <c r="I60" s="5">
        <f t="shared" si="4"/>
        <v>2.2839431801678867</v>
      </c>
      <c r="J60" s="5">
        <f t="shared" si="5"/>
        <v>1.0937221745218539</v>
      </c>
      <c r="K60" s="29">
        <f t="shared" si="6"/>
        <v>0</v>
      </c>
      <c r="L60" s="5" t="str">
        <f t="shared" si="7"/>
        <v/>
      </c>
      <c r="M60" s="5">
        <f>IF(OR(Component_Properties!F40=0,Component_Properties!H40=Component_Properties!F40),"",(LOG10(Component_Properties!G40/14.7)/(1/Component_Properties!F40-1/Component_Properties!H40))*(1/Component_Properties!F40-1/$B$15))</f>
        <v>-6.1896552423387385</v>
      </c>
    </row>
    <row r="61" spans="1:13" x14ac:dyDescent="0.25">
      <c r="A61" s="16">
        <v>37</v>
      </c>
      <c r="B61" s="30" t="str">
        <f>Volumetrics_Master!B77</f>
        <v>C21</v>
      </c>
      <c r="C61" s="31" t="str">
        <f>Volumetrics_Master!C77</f>
        <v>Heneicosanes</v>
      </c>
      <c r="D61" s="19">
        <f>Component_Properties!D41</f>
        <v>296</v>
      </c>
      <c r="E61" s="22">
        <f>Volumetrics_Master!I77</f>
        <v>0</v>
      </c>
      <c r="F61" s="22">
        <f>Volumetrics_Master!J77</f>
        <v>0</v>
      </c>
      <c r="G61" s="22">
        <f>Volumetrics_Master!K77</f>
        <v>1.5539999999999998</v>
      </c>
      <c r="H61" s="22">
        <f>Volumetrics_Master!L77</f>
        <v>2.3809999999999989</v>
      </c>
      <c r="I61" s="5">
        <f t="shared" si="4"/>
        <v>2.17175268050309</v>
      </c>
      <c r="J61" s="5">
        <f t="shared" si="5"/>
        <v>0.99080795633108987</v>
      </c>
      <c r="K61" s="29">
        <f t="shared" si="6"/>
        <v>0</v>
      </c>
      <c r="L61" s="5" t="str">
        <f t="shared" si="7"/>
        <v/>
      </c>
      <c r="M61" s="5">
        <f>IF(OR(Component_Properties!F41=0,Component_Properties!H41=Component_Properties!F41),"",(LOG10(Component_Properties!G41/14.7)/(1/Component_Properties!F41-1/Component_Properties!H41))*(1/Component_Properties!F41-1/$B$15))</f>
        <v>-6.3840284164451848</v>
      </c>
    </row>
    <row r="62" spans="1:13" x14ac:dyDescent="0.25">
      <c r="A62" s="16">
        <v>38</v>
      </c>
      <c r="B62" s="30" t="str">
        <f>Volumetrics_Master!B78</f>
        <v>C22</v>
      </c>
      <c r="C62" s="31" t="str">
        <f>Volumetrics_Master!C78</f>
        <v>Docosanes</v>
      </c>
      <c r="D62" s="19">
        <f>Component_Properties!D42</f>
        <v>310</v>
      </c>
      <c r="E62" s="22">
        <f>Volumetrics_Master!I78</f>
        <v>0</v>
      </c>
      <c r="F62" s="22">
        <f>Volumetrics_Master!J78</f>
        <v>0</v>
      </c>
      <c r="G62" s="22">
        <f>Volumetrics_Master!K78</f>
        <v>1.3349999999999997</v>
      </c>
      <c r="H62" s="22">
        <f>Volumetrics_Master!L78</f>
        <v>2.1429999999999989</v>
      </c>
      <c r="I62" s="5">
        <f t="shared" si="4"/>
        <v>1.9546686242411264</v>
      </c>
      <c r="J62" s="5">
        <f t="shared" si="5"/>
        <v>0.85149534530569637</v>
      </c>
      <c r="K62" s="29">
        <f t="shared" si="6"/>
        <v>0</v>
      </c>
      <c r="L62" s="5" t="str">
        <f t="shared" si="7"/>
        <v/>
      </c>
      <c r="M62" s="5">
        <f>IF(OR(Component_Properties!F42=0,Component_Properties!H42=Component_Properties!F42),"",(LOG10(Component_Properties!G42/14.7)/(1/Component_Properties!F42-1/Component_Properties!H42))*(1/Component_Properties!F42-1/$B$15))</f>
        <v>-6.6266486529926301</v>
      </c>
    </row>
    <row r="63" spans="1:13" x14ac:dyDescent="0.25">
      <c r="A63" s="16">
        <v>39</v>
      </c>
      <c r="B63" s="30" t="str">
        <f>Volumetrics_Master!B79</f>
        <v>C23</v>
      </c>
      <c r="C63" s="31" t="str">
        <f>Volumetrics_Master!C79</f>
        <v>Tricosanes</v>
      </c>
      <c r="D63" s="19">
        <f>Component_Properties!D43</f>
        <v>324</v>
      </c>
      <c r="E63" s="22">
        <f>Volumetrics_Master!I79</f>
        <v>0</v>
      </c>
      <c r="F63" s="22">
        <f>Volumetrics_Master!J79</f>
        <v>0</v>
      </c>
      <c r="G63" s="22">
        <f>Volumetrics_Master!K79</f>
        <v>1.1879999999999997</v>
      </c>
      <c r="H63" s="22">
        <f>Volumetrics_Master!L79</f>
        <v>1.988999999999999</v>
      </c>
      <c r="I63" s="5">
        <f t="shared" si="4"/>
        <v>1.8142024701892676</v>
      </c>
      <c r="J63" s="5">
        <f t="shared" si="5"/>
        <v>0.75615629837316911</v>
      </c>
      <c r="K63" s="29">
        <f t="shared" si="6"/>
        <v>0</v>
      </c>
      <c r="L63" s="5" t="str">
        <f t="shared" si="7"/>
        <v/>
      </c>
      <c r="M63" s="5">
        <f>IF(OR(Component_Properties!F43=0,Component_Properties!H43=Component_Properties!F43),"",(LOG10(Component_Properties!G43/14.7)/(1/Component_Properties!F43-1/Component_Properties!H43))*(1/Component_Properties!F43-1/$B$15))</f>
        <v>-6.8472130757647403</v>
      </c>
    </row>
    <row r="64" spans="1:13" x14ac:dyDescent="0.25">
      <c r="A64" s="16">
        <v>40</v>
      </c>
      <c r="B64" s="30" t="str">
        <f>Volumetrics_Master!B80</f>
        <v>C24</v>
      </c>
      <c r="C64" s="31" t="str">
        <f>Volumetrics_Master!C80</f>
        <v>Tetracosanes</v>
      </c>
      <c r="D64" s="19">
        <f>Component_Properties!D44</f>
        <v>338</v>
      </c>
      <c r="E64" s="22">
        <f>Volumetrics_Master!I80</f>
        <v>0</v>
      </c>
      <c r="F64" s="22">
        <f>Volumetrics_Master!J80</f>
        <v>0</v>
      </c>
      <c r="G64" s="22">
        <f>Volumetrics_Master!K80</f>
        <v>1.0809999999999997</v>
      </c>
      <c r="H64" s="22">
        <f>Volumetrics_Master!L80</f>
        <v>1.8829999999999993</v>
      </c>
      <c r="I64" s="5">
        <f t="shared" si="4"/>
        <v>1.7175179745431832</v>
      </c>
      <c r="J64" s="5">
        <f t="shared" si="5"/>
        <v>0.6862074373359448</v>
      </c>
      <c r="K64" s="29">
        <f t="shared" si="6"/>
        <v>0</v>
      </c>
      <c r="L64" s="5" t="str">
        <f t="shared" si="7"/>
        <v/>
      </c>
      <c r="M64" s="5">
        <f>IF(OR(Component_Properties!F44=0,Component_Properties!H44=Component_Properties!F44),"",(LOG10(Component_Properties!G44/14.7)/(1/Component_Properties!F44-1/Component_Properties!H44))*(1/Component_Properties!F44-1/$B$15))</f>
        <v>-7.0605983310714704</v>
      </c>
    </row>
    <row r="65" spans="1:13" x14ac:dyDescent="0.25">
      <c r="A65" s="16">
        <v>41</v>
      </c>
      <c r="B65" s="30" t="str">
        <f>Volumetrics_Master!B81</f>
        <v>C25</v>
      </c>
      <c r="C65" s="31" t="str">
        <f>Volumetrics_Master!C81</f>
        <v>Pentacosanes</v>
      </c>
      <c r="D65" s="19">
        <f>Component_Properties!D45</f>
        <v>352</v>
      </c>
      <c r="E65" s="22">
        <f>Volumetrics_Master!I81</f>
        <v>0</v>
      </c>
      <c r="F65" s="22">
        <f>Volumetrics_Master!J81</f>
        <v>0</v>
      </c>
      <c r="G65" s="22">
        <f>Volumetrics_Master!K81</f>
        <v>0.95999999999999974</v>
      </c>
      <c r="H65" s="22">
        <f>Volumetrics_Master!L81</f>
        <v>1.7439999999999993</v>
      </c>
      <c r="I65" s="5">
        <f t="shared" si="4"/>
        <v>1.5907335887431286</v>
      </c>
      <c r="J65" s="5">
        <f t="shared" si="5"/>
        <v>0.61027505446653973</v>
      </c>
      <c r="K65" s="29">
        <f t="shared" si="6"/>
        <v>0</v>
      </c>
      <c r="L65" s="5" t="str">
        <f t="shared" si="7"/>
        <v/>
      </c>
      <c r="M65" s="5">
        <f>IF(OR(Component_Properties!F45=0,Component_Properties!H45=Component_Properties!F45),"",(LOG10(Component_Properties!G45/14.7)/(1/Component_Properties!F45-1/Component_Properties!H45))*(1/Component_Properties!F45-1/$B$15))</f>
        <v>-7.272284870575473</v>
      </c>
    </row>
    <row r="66" spans="1:13" x14ac:dyDescent="0.25">
      <c r="A66" s="16">
        <v>42</v>
      </c>
      <c r="B66" s="30" t="str">
        <f>Volumetrics_Master!B82</f>
        <v>C26</v>
      </c>
      <c r="C66" s="31" t="str">
        <f>Volumetrics_Master!C82</f>
        <v>Hexacosanes</v>
      </c>
      <c r="D66" s="19">
        <f>Component_Properties!D46</f>
        <v>366</v>
      </c>
      <c r="E66" s="22">
        <f>Volumetrics_Master!I82</f>
        <v>0</v>
      </c>
      <c r="F66" s="22">
        <f>Volumetrics_Master!J82</f>
        <v>0</v>
      </c>
      <c r="G66" s="22">
        <f>Volumetrics_Master!K82</f>
        <v>0.85999999999999988</v>
      </c>
      <c r="H66" s="22">
        <f>Volumetrics_Master!L82</f>
        <v>1.6259999999999992</v>
      </c>
      <c r="I66" s="5">
        <f t="shared" si="4"/>
        <v>1.4831036784956004</v>
      </c>
      <c r="J66" s="5">
        <f t="shared" si="5"/>
        <v>0.54721911185584449</v>
      </c>
      <c r="K66" s="29">
        <f t="shared" si="6"/>
        <v>0</v>
      </c>
      <c r="L66" s="5" t="str">
        <f t="shared" si="7"/>
        <v/>
      </c>
      <c r="M66" s="5">
        <f>IF(OR(Component_Properties!F46=0,Component_Properties!H46=Component_Properties!F46),"",(LOG10(Component_Properties!G46/14.7)/(1/Component_Properties!F46-1/Component_Properties!H46))*(1/Component_Properties!F46-1/$B$15))</f>
        <v>-7.4866806546854949</v>
      </c>
    </row>
    <row r="67" spans="1:13" x14ac:dyDescent="0.25">
      <c r="A67" s="16">
        <v>43</v>
      </c>
      <c r="B67" s="30" t="str">
        <f>Volumetrics_Master!B83</f>
        <v>C27</v>
      </c>
      <c r="C67" s="31" t="str">
        <f>Volumetrics_Master!C83</f>
        <v>Heptacosanes</v>
      </c>
      <c r="D67" s="19">
        <f>Component_Properties!D47</f>
        <v>380</v>
      </c>
      <c r="E67" s="22">
        <f>Volumetrics_Master!I83</f>
        <v>0</v>
      </c>
      <c r="F67" s="22">
        <f>Volumetrics_Master!J83</f>
        <v>0</v>
      </c>
      <c r="G67" s="22">
        <f>Volumetrics_Master!K83</f>
        <v>0.77899999999999991</v>
      </c>
      <c r="H67" s="22">
        <f>Volumetrics_Master!L83</f>
        <v>1.5339999999999994</v>
      </c>
      <c r="I67" s="5">
        <f t="shared" si="4"/>
        <v>1.3991888332178666</v>
      </c>
      <c r="J67" s="5">
        <f t="shared" si="5"/>
        <v>0.49723714481257314</v>
      </c>
      <c r="K67" s="29">
        <f t="shared" si="6"/>
        <v>0</v>
      </c>
      <c r="L67" s="5" t="str">
        <f t="shared" si="7"/>
        <v/>
      </c>
      <c r="M67" s="5">
        <f>IF(OR(Component_Properties!F47=0,Component_Properties!H47=Component_Properties!F47),"",(LOG10(Component_Properties!G47/14.7)/(1/Component_Properties!F47-1/Component_Properties!H47))*(1/Component_Properties!F47-1/$B$15))</f>
        <v>-7.7485681381397997</v>
      </c>
    </row>
    <row r="68" spans="1:13" x14ac:dyDescent="0.25">
      <c r="A68" s="16">
        <v>44</v>
      </c>
      <c r="B68" s="30" t="str">
        <f>Volumetrics_Master!B84</f>
        <v>C28</v>
      </c>
      <c r="C68" s="31" t="str">
        <f>Volumetrics_Master!C84</f>
        <v>Octacosanes</v>
      </c>
      <c r="D68" s="19">
        <f>Component_Properties!D48</f>
        <v>394</v>
      </c>
      <c r="E68" s="22">
        <f>Volumetrics_Master!I84</f>
        <v>0</v>
      </c>
      <c r="F68" s="22">
        <f>Volumetrics_Master!J84</f>
        <v>0</v>
      </c>
      <c r="G68" s="22">
        <f>Volumetrics_Master!K84</f>
        <v>0.72899999999999987</v>
      </c>
      <c r="H68" s="22">
        <f>Volumetrics_Master!L84</f>
        <v>1.4889999999999994</v>
      </c>
      <c r="I68" s="5">
        <f t="shared" si="4"/>
        <v>1.3581435284624535</v>
      </c>
      <c r="J68" s="5">
        <f t="shared" si="5"/>
        <v>0.46550063415020981</v>
      </c>
      <c r="K68" s="29">
        <f t="shared" si="6"/>
        <v>0</v>
      </c>
      <c r="L68" s="5" t="str">
        <f t="shared" si="7"/>
        <v/>
      </c>
      <c r="M68" s="5">
        <f>IF(OR(Component_Properties!F48=0,Component_Properties!H48=Component_Properties!F48),"",(LOG10(Component_Properties!G48/14.7)/(1/Component_Properties!F48-1/Component_Properties!H48))*(1/Component_Properties!F48-1/$B$15))</f>
        <v>-7.855757382026173</v>
      </c>
    </row>
    <row r="69" spans="1:13" x14ac:dyDescent="0.25">
      <c r="A69" s="16">
        <v>45</v>
      </c>
      <c r="B69" s="30" t="str">
        <f>Volumetrics_Master!B85</f>
        <v>C29</v>
      </c>
      <c r="C69" s="31" t="str">
        <f>Volumetrics_Master!C85</f>
        <v>Nonacosanes</v>
      </c>
      <c r="D69" s="19">
        <f>Component_Properties!D49</f>
        <v>408</v>
      </c>
      <c r="E69" s="22">
        <f>Volumetrics_Master!I85</f>
        <v>0</v>
      </c>
      <c r="F69" s="22">
        <f>Volumetrics_Master!J85</f>
        <v>0</v>
      </c>
      <c r="G69" s="22">
        <f>Volumetrics_Master!K85</f>
        <v>0.66899999999999993</v>
      </c>
      <c r="H69" s="22">
        <f>Volumetrics_Master!L85</f>
        <v>1.4149999999999994</v>
      </c>
      <c r="I69" s="5">
        <f t="shared" si="4"/>
        <v>1.2906468050868847</v>
      </c>
      <c r="J69" s="5">
        <f t="shared" si="5"/>
        <v>0.42718704905431237</v>
      </c>
      <c r="K69" s="29">
        <f t="shared" si="6"/>
        <v>0</v>
      </c>
      <c r="L69" s="5" t="str">
        <f t="shared" si="7"/>
        <v/>
      </c>
      <c r="M69" s="5">
        <f>IF(OR(Component_Properties!F49=0,Component_Properties!H49=Component_Properties!F49),"",(LOG10(Component_Properties!G49/14.7)/(1/Component_Properties!F49-1/Component_Properties!H49))*(1/Component_Properties!F49-1/$B$15))</f>
        <v>-8.0937672181302656</v>
      </c>
    </row>
    <row r="70" spans="1:13" x14ac:dyDescent="0.25">
      <c r="A70" s="16">
        <v>46</v>
      </c>
      <c r="B70" s="30" t="str">
        <f>Volumetrics_Master!B86</f>
        <v>C30</v>
      </c>
      <c r="C70" s="31" t="str">
        <f>Volumetrics_Master!C86</f>
        <v>Triacontanes</v>
      </c>
      <c r="D70" s="19">
        <f>Component_Properties!D50</f>
        <v>422</v>
      </c>
      <c r="E70" s="22">
        <f>Volumetrics_Master!I86</f>
        <v>0</v>
      </c>
      <c r="F70" s="22">
        <f>Volumetrics_Master!J86</f>
        <v>0</v>
      </c>
      <c r="G70" s="22">
        <f>Volumetrics_Master!K86</f>
        <v>0.61099999999999988</v>
      </c>
      <c r="H70" s="22">
        <f>Volumetrics_Master!L86</f>
        <v>1.3379999999999994</v>
      </c>
      <c r="I70" s="5">
        <f t="shared" si="4"/>
        <v>1.2204137280609553</v>
      </c>
      <c r="J70" s="5">
        <f t="shared" si="5"/>
        <v>0.39053994746026049</v>
      </c>
      <c r="K70" s="29">
        <f t="shared" si="6"/>
        <v>0</v>
      </c>
      <c r="L70" s="5" t="str">
        <f t="shared" si="7"/>
        <v/>
      </c>
      <c r="M70" s="5">
        <f>IF(OR(Component_Properties!F50=0,Component_Properties!H50=Component_Properties!F50),"",(LOG10(Component_Properties!G50/14.7)/(1/Component_Properties!F50-1/Component_Properties!H50))*(1/Component_Properties!F50-1/$B$15))</f>
        <v>-8.2858861098554986</v>
      </c>
    </row>
    <row r="71" spans="1:13" x14ac:dyDescent="0.25">
      <c r="A71" s="16">
        <v>47</v>
      </c>
      <c r="B71" s="30" t="str">
        <f>Volumetrics_Master!B87</f>
        <v>C31</v>
      </c>
      <c r="C71" s="31" t="str">
        <f>Volumetrics_Master!C87</f>
        <v>Hentriacontanes</v>
      </c>
      <c r="D71" s="19">
        <f>Component_Properties!D51</f>
        <v>436</v>
      </c>
      <c r="E71" s="22">
        <f>Volumetrics_Master!I87</f>
        <v>0</v>
      </c>
      <c r="F71" s="22">
        <f>Volumetrics_Master!J87</f>
        <v>0</v>
      </c>
      <c r="G71" s="22">
        <f>Volumetrics_Master!K87</f>
        <v>0.55399999999999994</v>
      </c>
      <c r="H71" s="22">
        <f>Volumetrics_Master!L87</f>
        <v>1.2549999999999994</v>
      </c>
      <c r="I71" s="5">
        <f t="shared" si="4"/>
        <v>1.1447079437343042</v>
      </c>
      <c r="J71" s="5">
        <f t="shared" si="5"/>
        <v>0.35455126365249473</v>
      </c>
      <c r="K71" s="29">
        <f t="shared" si="6"/>
        <v>0</v>
      </c>
      <c r="L71" s="5" t="str">
        <f t="shared" si="7"/>
        <v/>
      </c>
      <c r="M71" s="5">
        <f>IF(OR(Component_Properties!F51=0,Component_Properties!H51=Component_Properties!F51),"",(LOG10(Component_Properties!G51/14.7)/(1/Component_Properties!F51-1/Component_Properties!H51))*(1/Component_Properties!F51-1/$B$15))</f>
        <v>-8.3959260424774023</v>
      </c>
    </row>
    <row r="72" spans="1:13" x14ac:dyDescent="0.25">
      <c r="A72" s="16">
        <v>48</v>
      </c>
      <c r="B72" s="30" t="str">
        <f>Volumetrics_Master!B88</f>
        <v>C32</v>
      </c>
      <c r="C72" s="31" t="str">
        <f>Volumetrics_Master!C88</f>
        <v>Dotriacontanes</v>
      </c>
      <c r="D72" s="19">
        <f>Component_Properties!D52</f>
        <v>450</v>
      </c>
      <c r="E72" s="22">
        <f>Volumetrics_Master!I88</f>
        <v>0</v>
      </c>
      <c r="F72" s="22">
        <f>Volumetrics_Master!J88</f>
        <v>0</v>
      </c>
      <c r="G72" s="22">
        <f>Volumetrics_Master!K88</f>
        <v>0.49199999999999988</v>
      </c>
      <c r="H72" s="22">
        <f>Volumetrics_Master!L88</f>
        <v>1.1499999999999995</v>
      </c>
      <c r="I72" s="5">
        <f t="shared" si="4"/>
        <v>1.048935565971673</v>
      </c>
      <c r="J72" s="5">
        <f t="shared" si="5"/>
        <v>0.31477999751281249</v>
      </c>
      <c r="K72" s="29">
        <f t="shared" si="6"/>
        <v>0</v>
      </c>
      <c r="L72" s="5" t="str">
        <f t="shared" si="7"/>
        <v/>
      </c>
      <c r="M72" s="5">
        <f>IF(OR(Component_Properties!F52=0,Component_Properties!H52=Component_Properties!F52),"",(LOG10(Component_Properties!G52/14.7)/(1/Component_Properties!F52-1/Component_Properties!H52))*(1/Component_Properties!F52-1/$B$15))</f>
        <v>-8.4807723343161676</v>
      </c>
    </row>
    <row r="73" spans="1:13" x14ac:dyDescent="0.25">
      <c r="A73" s="16">
        <v>49</v>
      </c>
      <c r="B73" s="30" t="str">
        <f>Volumetrics_Master!B89</f>
        <v>C33</v>
      </c>
      <c r="C73" s="31" t="str">
        <f>Volumetrics_Master!C89</f>
        <v>Tritriacontanes</v>
      </c>
      <c r="D73" s="19">
        <f>Component_Properties!D53</f>
        <v>464</v>
      </c>
      <c r="E73" s="22">
        <f>Volumetrics_Master!I89</f>
        <v>0</v>
      </c>
      <c r="F73" s="22">
        <f>Volumetrics_Master!J89</f>
        <v>0</v>
      </c>
      <c r="G73" s="22">
        <f>Volumetrics_Master!K89</f>
        <v>0.4509999999999999</v>
      </c>
      <c r="H73" s="22">
        <f>Volumetrics_Master!L89</f>
        <v>1.0869999999999995</v>
      </c>
      <c r="I73" s="5">
        <f t="shared" si="4"/>
        <v>0.9914721393140945</v>
      </c>
      <c r="J73" s="5">
        <f t="shared" si="5"/>
        <v>0.28855816301235432</v>
      </c>
      <c r="K73" s="29">
        <f t="shared" si="6"/>
        <v>0</v>
      </c>
      <c r="L73" s="5" t="str">
        <f t="shared" si="7"/>
        <v/>
      </c>
      <c r="M73" s="5">
        <f>IF(OR(Component_Properties!F53=0,Component_Properties!H53=Component_Properties!F53),"",(LOG10(Component_Properties!G53/14.7)/(1/Component_Properties!F53-1/Component_Properties!H53))*(1/Component_Properties!F53-1/$B$15))</f>
        <v>-8.6905950923311348</v>
      </c>
    </row>
    <row r="74" spans="1:13" x14ac:dyDescent="0.25">
      <c r="A74" s="16">
        <v>50</v>
      </c>
      <c r="B74" s="30" t="str">
        <f>Volumetrics_Master!B90</f>
        <v>C34</v>
      </c>
      <c r="C74" s="31" t="str">
        <f>Volumetrics_Master!C90</f>
        <v>Tetratriacontanes</v>
      </c>
      <c r="D74" s="19">
        <f>Component_Properties!D54</f>
        <v>478</v>
      </c>
      <c r="E74" s="22">
        <f>Volumetrics_Master!I90</f>
        <v>0</v>
      </c>
      <c r="F74" s="22">
        <f>Volumetrics_Master!J90</f>
        <v>0</v>
      </c>
      <c r="G74" s="22">
        <f>Volumetrics_Master!K90</f>
        <v>0.42899999999999994</v>
      </c>
      <c r="H74" s="22">
        <f>Volumetrics_Master!L90</f>
        <v>1.0659999999999996</v>
      </c>
      <c r="I74" s="5">
        <f t="shared" si="4"/>
        <v>0.97231766376156836</v>
      </c>
      <c r="J74" s="5">
        <f t="shared" si="5"/>
        <v>0.27469522431671123</v>
      </c>
      <c r="K74" s="29">
        <f t="shared" si="6"/>
        <v>0</v>
      </c>
      <c r="L74" s="5" t="str">
        <f t="shared" si="7"/>
        <v/>
      </c>
      <c r="M74" s="5">
        <f>IF(OR(Component_Properties!F54=0,Component_Properties!H54=Component_Properties!F54),"",(LOG10(Component_Properties!G54/14.7)/(1/Component_Properties!F54-1/Component_Properties!H54))*(1/Component_Properties!F54-1/$B$15))</f>
        <v>-8.7887797530041905</v>
      </c>
    </row>
    <row r="75" spans="1:13" x14ac:dyDescent="0.25">
      <c r="A75" s="16">
        <v>51</v>
      </c>
      <c r="B75" s="30" t="str">
        <f>Volumetrics_Master!B91</f>
        <v>C35</v>
      </c>
      <c r="C75" s="31" t="str">
        <f>Volumetrics_Master!C91</f>
        <v>Pentatriacontanes</v>
      </c>
      <c r="D75" s="19">
        <f>Component_Properties!D55</f>
        <v>492</v>
      </c>
      <c r="E75" s="22">
        <f>Volumetrics_Master!I91</f>
        <v>0</v>
      </c>
      <c r="F75" s="22">
        <f>Volumetrics_Master!J91</f>
        <v>0</v>
      </c>
      <c r="G75" s="22">
        <f>Volumetrics_Master!K91</f>
        <v>0.39600000000000002</v>
      </c>
      <c r="H75" s="22">
        <f>Volumetrics_Master!L91</f>
        <v>1.0129999999999995</v>
      </c>
      <c r="I75" s="5">
        <f t="shared" si="4"/>
        <v>0.92397541593852595</v>
      </c>
      <c r="J75" s="5">
        <f t="shared" si="5"/>
        <v>0.25360986544046588</v>
      </c>
      <c r="K75" s="29">
        <f t="shared" si="6"/>
        <v>0</v>
      </c>
      <c r="L75" s="5" t="str">
        <f t="shared" si="7"/>
        <v/>
      </c>
      <c r="M75" s="5">
        <f>IF(OR(Component_Properties!F55=0,Component_Properties!H55=Component_Properties!F55),"",(LOG10(Component_Properties!G55/14.7)/(1/Component_Properties!F55-1/Component_Properties!H55))*(1/Component_Properties!F55-1/$B$15))</f>
        <v>-8.975513349506878</v>
      </c>
    </row>
    <row r="76" spans="1:13" x14ac:dyDescent="0.25">
      <c r="A76" s="16">
        <v>52</v>
      </c>
      <c r="B76" s="30" t="str">
        <f>Volumetrics_Master!B92</f>
        <v>C36+</v>
      </c>
      <c r="C76" s="31" t="str">
        <f>Volumetrics_Master!C92</f>
        <v>Hexatriacontanes plus</v>
      </c>
      <c r="D76" s="19">
        <f>Component_Properties!D56</f>
        <v>636.4</v>
      </c>
      <c r="E76" s="22">
        <f>Volumetrics_Master!I92</f>
        <v>0</v>
      </c>
      <c r="F76" s="22">
        <f>Volumetrics_Master!J92</f>
        <v>0</v>
      </c>
      <c r="G76" s="22">
        <f>Volumetrics_Master!K92</f>
        <v>4.911999999999999</v>
      </c>
      <c r="H76" s="22">
        <f>Volumetrics_Master!L92</f>
        <v>16.455999999999992</v>
      </c>
      <c r="I76" s="5">
        <f t="shared" si="4"/>
        <v>15.009811890112916</v>
      </c>
      <c r="J76" s="5">
        <f t="shared" si="5"/>
        <v>3.1850474647909155</v>
      </c>
      <c r="K76" s="29">
        <f t="shared" si="6"/>
        <v>0</v>
      </c>
      <c r="L76" s="5" t="str">
        <f t="shared" si="7"/>
        <v/>
      </c>
      <c r="M76" s="5">
        <f>IF(OR(Component_Properties!F56=0,Component_Properties!H56=Component_Properties!F56),"",(LOG10(Component_Properties!G56/14.7)/(1/Component_Properties!F56-1/Component_Properties!H56))*(1/Component_Properties!F56-1/$B$15))</f>
        <v>-11.121543910264306</v>
      </c>
    </row>
    <row r="77" spans="1:13" x14ac:dyDescent="0.25">
      <c r="B77" s="20" t="s">
        <v>173</v>
      </c>
      <c r="E77" s="21">
        <f t="shared" ref="E77:J77" si="8">SUM(E25:E76)</f>
        <v>100.00000000000001</v>
      </c>
      <c r="F77" s="21">
        <f t="shared" si="8"/>
        <v>100</v>
      </c>
      <c r="G77" s="21">
        <f t="shared" si="8"/>
        <v>100</v>
      </c>
      <c r="H77" s="21">
        <f t="shared" si="8"/>
        <v>100</v>
      </c>
      <c r="I77" s="21">
        <f t="shared" si="8"/>
        <v>99.999999999999972</v>
      </c>
      <c r="J77" s="21">
        <f t="shared" si="8"/>
        <v>100.00000000000001</v>
      </c>
    </row>
    <row r="78" spans="1:13" ht="30" x14ac:dyDescent="0.25">
      <c r="B78" s="1" t="s">
        <v>224</v>
      </c>
      <c r="I78" s="16" t="str">
        <f>IF(ABS(I77-100)&lt;=0.5,"PASS",IF(ABS(I77-100)&lt;=2,"REVIEW","FAIL"))</f>
        <v>PASS</v>
      </c>
      <c r="J78" s="16" t="str">
        <f>IF(ABS(J77-100)&lt;=0.5,"PASS",IF(ABS(J77-100)&lt;=2,"REVIEW","FAIL"))</f>
        <v>PASS</v>
      </c>
    </row>
  </sheetData>
  <mergeCells count="5">
    <mergeCell ref="A4:B4"/>
    <mergeCell ref="A1:M1"/>
    <mergeCell ref="A23:M23"/>
    <mergeCell ref="A17:B17"/>
    <mergeCell ref="A2:M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"/>
  <sheetViews>
    <sheetView workbookViewId="0">
      <pane ySplit="5" topLeftCell="A6" activePane="bottomLeft" state="frozen"/>
      <selection pane="bottomLeft" sqref="A1:F1"/>
    </sheetView>
  </sheetViews>
  <sheetFormatPr defaultRowHeight="15" x14ac:dyDescent="0.25"/>
  <cols>
    <col min="1" max="1" width="8" customWidth="1"/>
    <col min="2" max="2" width="32" customWidth="1"/>
    <col min="3" max="3" width="12" customWidth="1"/>
    <col min="4" max="6" width="18" customWidth="1"/>
  </cols>
  <sheetData>
    <row r="1" spans="1:6" ht="26.1" customHeight="1" x14ac:dyDescent="0.25">
      <c r="A1" s="37" t="s">
        <v>225</v>
      </c>
      <c r="B1" s="36"/>
      <c r="C1" s="36"/>
      <c r="D1" s="36"/>
      <c r="E1" s="36"/>
      <c r="F1" s="36"/>
    </row>
    <row r="2" spans="1:6" ht="15" customHeight="1" x14ac:dyDescent="0.25">
      <c r="A2" s="38" t="s">
        <v>226</v>
      </c>
      <c r="B2" s="36"/>
      <c r="C2" s="36"/>
      <c r="D2" s="36"/>
      <c r="E2" s="36"/>
      <c r="F2" s="36"/>
    </row>
    <row r="4" spans="1:6" ht="21.95" customHeight="1" x14ac:dyDescent="0.25">
      <c r="A4" s="39" t="s">
        <v>227</v>
      </c>
      <c r="B4" s="36"/>
      <c r="C4" s="36"/>
      <c r="D4" s="36"/>
      <c r="E4" s="36"/>
      <c r="F4" s="36"/>
    </row>
    <row r="5" spans="1:6" ht="32.1" customHeight="1" x14ac:dyDescent="0.25">
      <c r="A5" s="49" t="s">
        <v>228</v>
      </c>
      <c r="B5" s="36"/>
      <c r="C5" s="36"/>
      <c r="D5" s="36"/>
      <c r="E5" s="36"/>
      <c r="F5" s="36"/>
    </row>
    <row r="6" spans="1:6" ht="36" customHeight="1" x14ac:dyDescent="0.25">
      <c r="A6" s="15"/>
      <c r="B6" s="15" t="s">
        <v>229</v>
      </c>
      <c r="C6" s="15" t="s">
        <v>230</v>
      </c>
      <c r="D6" s="15" t="s">
        <v>231</v>
      </c>
      <c r="E6" s="15" t="s">
        <v>232</v>
      </c>
      <c r="F6" s="15" t="s">
        <v>233</v>
      </c>
    </row>
    <row r="7" spans="1:6" ht="26.1" customHeight="1" x14ac:dyDescent="0.25">
      <c r="B7" s="1" t="s">
        <v>234</v>
      </c>
      <c r="C7" s="16" t="s">
        <v>235</v>
      </c>
      <c r="D7" s="13">
        <f>Recombination!B21</f>
        <v>135.04261222141739</v>
      </c>
      <c r="E7" s="32">
        <f>Volumetrics_Master!B99</f>
        <v>192.97769196999997</v>
      </c>
      <c r="F7" s="33" t="s">
        <v>236</v>
      </c>
    </row>
    <row r="8" spans="1:6" ht="26.1" customHeight="1" x14ac:dyDescent="0.25">
      <c r="B8" s="1" t="s">
        <v>237</v>
      </c>
      <c r="C8" s="16" t="s">
        <v>238</v>
      </c>
      <c r="D8" s="13">
        <f>IF(SUMPRODUCT(Recombination!I25:I76,1/Component_Properties!E5:E56)=0,0,SUM(Recombination!I25:I76)/SUMPRODUCT(Recombination!I25:I76,1/Component_Properties!E5:E56))</f>
        <v>0.76992435444293383</v>
      </c>
      <c r="E8" s="34">
        <f>Volumetrics_Master!B36</f>
        <v>0.87005635375945534</v>
      </c>
      <c r="F8" s="33" t="s">
        <v>239</v>
      </c>
    </row>
    <row r="9" spans="1:6" ht="26.1" customHeight="1" x14ac:dyDescent="0.25">
      <c r="B9" s="1" t="s">
        <v>240</v>
      </c>
      <c r="C9" s="16" t="s">
        <v>241</v>
      </c>
      <c r="D9" s="16" t="s">
        <v>242</v>
      </c>
      <c r="E9" s="32">
        <f>Volumetrics_Master!B37</f>
        <v>31.133143690736773</v>
      </c>
      <c r="F9" s="33" t="s">
        <v>243</v>
      </c>
    </row>
    <row r="10" spans="1:6" ht="39.950000000000003" customHeight="1" x14ac:dyDescent="0.25">
      <c r="A10" s="40" t="s">
        <v>244</v>
      </c>
      <c r="B10" s="36"/>
      <c r="C10" s="36"/>
      <c r="D10" s="36"/>
      <c r="E10" s="36"/>
      <c r="F10" s="36"/>
    </row>
    <row r="11" spans="1:6" ht="39.950000000000003" customHeight="1" x14ac:dyDescent="0.25">
      <c r="A11" s="36"/>
      <c r="B11" s="36"/>
      <c r="C11" s="36"/>
      <c r="D11" s="36"/>
      <c r="E11" s="36"/>
      <c r="F11" s="36"/>
    </row>
    <row r="13" spans="1:6" ht="21.95" customHeight="1" x14ac:dyDescent="0.25">
      <c r="A13" s="39" t="s">
        <v>245</v>
      </c>
      <c r="B13" s="36"/>
      <c r="C13" s="36"/>
      <c r="D13" s="36"/>
      <c r="E13" s="36"/>
      <c r="F13" s="36"/>
    </row>
    <row r="14" spans="1:6" ht="32.1" customHeight="1" x14ac:dyDescent="0.25">
      <c r="A14" s="15" t="s">
        <v>246</v>
      </c>
      <c r="B14" s="15" t="s">
        <v>229</v>
      </c>
      <c r="C14" s="15" t="s">
        <v>230</v>
      </c>
      <c r="D14" s="15" t="s">
        <v>247</v>
      </c>
      <c r="E14" s="15" t="s">
        <v>248</v>
      </c>
      <c r="F14" s="15" t="s">
        <v>249</v>
      </c>
    </row>
    <row r="15" spans="1:6" x14ac:dyDescent="0.25">
      <c r="A15" s="48" t="s">
        <v>250</v>
      </c>
      <c r="B15" s="1" t="s">
        <v>251</v>
      </c>
      <c r="C15" s="16" t="s">
        <v>252</v>
      </c>
      <c r="D15" s="5">
        <f>SUM(Volumetrics_Master!K57:K92)</f>
        <v>79.872999999999962</v>
      </c>
      <c r="E15" s="5">
        <f>SUM(Volumetrics_Master!I57:I92)</f>
        <v>0.69600000000000017</v>
      </c>
      <c r="F15" s="5">
        <f>SUM(Recombination!J41:J76)</f>
        <v>51.119148749375753</v>
      </c>
    </row>
    <row r="16" spans="1:6" x14ac:dyDescent="0.25">
      <c r="A16" s="36"/>
      <c r="B16" s="1" t="s">
        <v>253</v>
      </c>
      <c r="C16" s="16" t="s">
        <v>254</v>
      </c>
      <c r="D16" s="5">
        <f>SUM(Volumetrics_Master!L57:L92)</f>
        <v>92.133999999999986</v>
      </c>
      <c r="E16" s="5">
        <f>SUM(Volumetrics_Master!J57:J92)</f>
        <v>2.2630000000000003</v>
      </c>
      <c r="F16" s="5">
        <f>SUM(Recombination!I41:I76)</f>
        <v>84.235946303861098</v>
      </c>
    </row>
    <row r="17" spans="1:6" ht="15.75" x14ac:dyDescent="0.25">
      <c r="A17" s="36"/>
      <c r="B17" s="1" t="s">
        <v>214</v>
      </c>
      <c r="C17" s="16" t="s">
        <v>235</v>
      </c>
      <c r="D17" s="8">
        <f>IF(SUM(Volumetrics_Master!K57:K92)=0,0,SUMPRODUCT(Volumetrics_Master!D57:D92,Volumetrics_Master!K57:K92)/SUM(Volumetrics_Master!K57:K92))</f>
        <v>222.90245877831069</v>
      </c>
      <c r="E17" s="8">
        <f>IF(SUM(Volumetrics_Master!I57:I92)=0,0,SUMPRODUCT(Volumetrics_Master!D57:D92,Volumetrics_Master!I57:I92)/SUM(Volumetrics_Master!I57:I92))</f>
        <v>107.14846551724138</v>
      </c>
      <c r="F17" s="14">
        <f>IF(SUM(Recombination!J41:J76)=0,0,SUMPRODUCT(Recombination!D41:D76,Recombination!J41:J76)/SUM(Recombination!J41:J76))</f>
        <v>222.52800584742448</v>
      </c>
    </row>
    <row r="18" spans="1:6" ht="15.75" x14ac:dyDescent="0.25">
      <c r="A18" s="36"/>
      <c r="B18" s="1" t="s">
        <v>255</v>
      </c>
      <c r="C18" s="16" t="s">
        <v>238</v>
      </c>
      <c r="D18" s="5">
        <f>IF(SUMPRODUCT(Volumetrics_Master!L57:L92,1/Component_Properties!E21:E56)=0,0,SUM(Volumetrics_Master!L57:L92)/SUMPRODUCT(Volumetrics_Master!L57:L92,1/Component_Properties!E21:E56))</f>
        <v>0.84686620968074866</v>
      </c>
      <c r="E18" s="5">
        <f>IF(SUMPRODUCT(Volumetrics_Master!J57:J92,1/Component_Properties!E21:E56)=0,0,SUM(Volumetrics_Master!J57:J92)/SUMPRODUCT(Volumetrics_Master!J57:J92,1/Component_Properties!E21:E56))</f>
        <v>0.74984104130402263</v>
      </c>
      <c r="F18" s="13">
        <f>IF(SUMPRODUCT(Recombination!I41:I76,1/Component_Properties!E21:E56)=0,0,SUM(Recombination!I41:I76)/SUMPRODUCT(Recombination!I41:I76,1/Component_Properties!E21:E56))</f>
        <v>0.84660757607697079</v>
      </c>
    </row>
    <row r="20" spans="1:6" x14ac:dyDescent="0.25">
      <c r="A20" s="47" t="s">
        <v>256</v>
      </c>
      <c r="B20" s="1" t="s">
        <v>251</v>
      </c>
      <c r="C20" s="16" t="s">
        <v>252</v>
      </c>
      <c r="D20" s="5">
        <f>SUM(Volumetrics_Master!K67:K92)</f>
        <v>49.83</v>
      </c>
      <c r="E20" s="5">
        <f>SUM(Volumetrics_Master!I67:I92)</f>
        <v>1.3000000000000001E-2</v>
      </c>
      <c r="F20" s="5">
        <f>SUM(Recombination!J51:J76)</f>
        <v>31.391596010871453</v>
      </c>
    </row>
    <row r="21" spans="1:6" x14ac:dyDescent="0.25">
      <c r="A21" s="36"/>
      <c r="B21" s="1" t="s">
        <v>253</v>
      </c>
      <c r="C21" s="16" t="s">
        <v>254</v>
      </c>
      <c r="D21" s="5">
        <f>SUM(Volumetrics_Master!L67:L92)</f>
        <v>73.539999999999978</v>
      </c>
      <c r="E21" s="5">
        <f>SUM(Volumetrics_Master!J67:J92)</f>
        <v>5.9000000000000011E-2</v>
      </c>
      <c r="F21" s="5">
        <f>SUM(Recombination!I51:I76)</f>
        <v>67.082334194056102</v>
      </c>
    </row>
    <row r="22" spans="1:6" ht="15.75" x14ac:dyDescent="0.25">
      <c r="A22" s="36"/>
      <c r="B22" s="1" t="s">
        <v>214</v>
      </c>
      <c r="C22" s="16" t="s">
        <v>235</v>
      </c>
      <c r="D22" s="8">
        <f>IF(SUM(Volumetrics_Master!K67:K92)=0,0,SUMPRODUCT(Volumetrics_Master!D67:D92,Volumetrics_Master!K67:K92)/SUM(Volumetrics_Master!K67:K92))</f>
        <v>286.41149508328311</v>
      </c>
      <c r="E22" s="8">
        <f>IF(SUM(Volumetrics_Master!I67:I92)=0,0,SUMPRODUCT(Volumetrics_Master!D67:D92,Volumetrics_Master!I67:I92)/SUM(Volumetrics_Master!I67:I92))</f>
        <v>161.38461538461539</v>
      </c>
      <c r="F22" s="14">
        <f>IF(SUM(Recombination!J51:J76)=0,0,SUMPRODUCT(Recombination!D51:D76,Recombination!J51:J76)/SUM(Recombination!J51:J76))</f>
        <v>288.57958162873166</v>
      </c>
    </row>
    <row r="23" spans="1:6" ht="15.75" x14ac:dyDescent="0.25">
      <c r="A23" s="36"/>
      <c r="B23" s="1" t="s">
        <v>255</v>
      </c>
      <c r="C23" s="16" t="s">
        <v>238</v>
      </c>
      <c r="D23" s="5">
        <f>IF(SUMPRODUCT(Volumetrics_Master!L67:L92,1/Component_Properties!E31:E56)=0,0,SUM(Volumetrics_Master!L67:L92)/SUMPRODUCT(Volumetrics_Master!L67:L92,1/Component_Properties!E31:E56))</f>
        <v>0.86936670808408878</v>
      </c>
      <c r="E23" s="5">
        <f>IF(SUMPRODUCT(Volumetrics_Master!J67:J92,1/Component_Properties!E31:E56)=0,0,SUM(Volumetrics_Master!J67:J92)/SUMPRODUCT(Volumetrics_Master!J67:J92,1/Component_Properties!E31:E56))</f>
        <v>0.79325196498178807</v>
      </c>
      <c r="F23" s="13">
        <f>IF(SUMPRODUCT(Recombination!I51:I76,1/Component_Properties!E31:E56)=0,0,SUM(Recombination!I51:I76)/SUMPRODUCT(Recombination!I51:I76,1/Component_Properties!E31:E56))</f>
        <v>0.8693602604294467</v>
      </c>
    </row>
    <row r="25" spans="1:6" x14ac:dyDescent="0.25">
      <c r="A25" s="45" t="s">
        <v>257</v>
      </c>
      <c r="B25" s="1" t="s">
        <v>251</v>
      </c>
      <c r="C25" s="16" t="s">
        <v>252</v>
      </c>
      <c r="D25" s="5">
        <f>SUM(Volumetrics_Master!K76:K92)</f>
        <v>18.729999999999997</v>
      </c>
      <c r="E25" s="5">
        <f>SUM(Volumetrics_Master!I76:I92)</f>
        <v>0</v>
      </c>
      <c r="F25" s="5">
        <f>SUM(Recombination!J60:J76)</f>
        <v>11.987590132393247</v>
      </c>
    </row>
    <row r="26" spans="1:6" x14ac:dyDescent="0.25">
      <c r="A26" s="36"/>
      <c r="B26" s="1" t="s">
        <v>253</v>
      </c>
      <c r="C26" s="16" t="s">
        <v>254</v>
      </c>
      <c r="D26" s="5">
        <f>SUM(Volumetrics_Master!L76:L92)</f>
        <v>42.072999999999979</v>
      </c>
      <c r="E26" s="5">
        <f>SUM(Volumetrics_Master!J76:J92)</f>
        <v>0</v>
      </c>
      <c r="F26" s="5">
        <f>SUM(Recombination!I60:I76)</f>
        <v>38.375535710544519</v>
      </c>
    </row>
    <row r="27" spans="1:6" ht="15.75" x14ac:dyDescent="0.25">
      <c r="A27" s="36"/>
      <c r="B27" s="1" t="s">
        <v>214</v>
      </c>
      <c r="C27" s="16" t="s">
        <v>235</v>
      </c>
      <c r="D27" s="8">
        <f>IF(SUM(Volumetrics_Master!K76:K92)=0,0,SUMPRODUCT(Volumetrics_Master!D76:D92,Volumetrics_Master!K76:K92)/SUM(Volumetrics_Master!K76:K92))</f>
        <v>431.22278697277102</v>
      </c>
      <c r="E27" s="8">
        <f>IF(SUM(Volumetrics_Master!I76:I92)=0,0,SUMPRODUCT(Volumetrics_Master!D76:D92,Volumetrics_Master!I76:I92)/SUM(Volumetrics_Master!I76:I92))</f>
        <v>0</v>
      </c>
      <c r="F27" s="14">
        <f>IF(SUM(Recombination!J60:J76)=0,0,SUMPRODUCT(Recombination!D60:D76,Recombination!J60:J76)/SUM(Recombination!J60:J76))</f>
        <v>432.30812285985292</v>
      </c>
    </row>
    <row r="28" spans="1:6" ht="15.75" x14ac:dyDescent="0.25">
      <c r="A28" s="36"/>
      <c r="B28" s="1" t="s">
        <v>255</v>
      </c>
      <c r="C28" s="16" t="s">
        <v>238</v>
      </c>
      <c r="D28" s="5">
        <f>IF(SUMPRODUCT(Volumetrics_Master!L76:L92,1/Component_Properties!E40:E56)=0,0,SUM(Volumetrics_Master!L76:L92)/SUMPRODUCT(Volumetrics_Master!L76:L92,1/Component_Properties!E40:E56))</f>
        <v>0.90735312875155494</v>
      </c>
      <c r="E28" s="5">
        <f>IF(SUMPRODUCT(Volumetrics_Master!J76:J92,1/Component_Properties!E40:E56)=0,0,SUM(Volumetrics_Master!J76:J92)/SUMPRODUCT(Volumetrics_Master!J76:J92,1/Component_Properties!E40:E56))</f>
        <v>0</v>
      </c>
      <c r="F28" s="13">
        <f>IF(SUMPRODUCT(Recombination!I60:I76,1/Component_Properties!E40:E56)=0,0,SUM(Recombination!I60:I76)/SUMPRODUCT(Recombination!I60:I76,1/Component_Properties!E40:E56))</f>
        <v>0.90735312875155494</v>
      </c>
    </row>
    <row r="30" spans="1:6" x14ac:dyDescent="0.25">
      <c r="A30" s="44" t="s">
        <v>171</v>
      </c>
      <c r="B30" s="1" t="s">
        <v>251</v>
      </c>
      <c r="C30" s="16" t="s">
        <v>252</v>
      </c>
      <c r="D30" s="5">
        <f>SUM(Volumetrics_Master!K92:K92)</f>
        <v>4.911999999999999</v>
      </c>
      <c r="E30" s="5">
        <f>SUM(Volumetrics_Master!I92:I92)</f>
        <v>0</v>
      </c>
      <c r="F30" s="5">
        <f>SUM(Recombination!J76:J76)</f>
        <v>3.1850474647909155</v>
      </c>
    </row>
    <row r="31" spans="1:6" x14ac:dyDescent="0.25">
      <c r="A31" s="36"/>
      <c r="B31" s="1" t="s">
        <v>253</v>
      </c>
      <c r="C31" s="16" t="s">
        <v>254</v>
      </c>
      <c r="D31" s="5">
        <f>SUM(Volumetrics_Master!L92:L92)</f>
        <v>16.455999999999992</v>
      </c>
      <c r="E31" s="5">
        <f>SUM(Volumetrics_Master!J92:J92)</f>
        <v>0</v>
      </c>
      <c r="F31" s="5">
        <f>SUM(Recombination!I76:I76)</f>
        <v>15.009811890112916</v>
      </c>
    </row>
    <row r="32" spans="1:6" ht="15.75" x14ac:dyDescent="0.25">
      <c r="A32" s="36"/>
      <c r="B32" s="1" t="s">
        <v>214</v>
      </c>
      <c r="C32" s="16" t="s">
        <v>235</v>
      </c>
      <c r="D32" s="8">
        <f>IF(SUM(Volumetrics_Master!K92:K92)=0,0,SUMPRODUCT(Volumetrics_Master!D92:D92,Volumetrics_Master!K92:K92)/SUM(Volumetrics_Master!K92:K92))</f>
        <v>636.4</v>
      </c>
      <c r="E32" s="8">
        <f>IF(SUM(Volumetrics_Master!I92:I92)=0,0,SUMPRODUCT(Volumetrics_Master!D92:D92,Volumetrics_Master!I92:I92)/SUM(Volumetrics_Master!I92:I92))</f>
        <v>0</v>
      </c>
      <c r="F32" s="14">
        <f>IF(SUM(Recombination!J76:J76)=0,0,SUMPRODUCT(Recombination!D76:D76,Recombination!J76:J76)/SUM(Recombination!J76:J76))</f>
        <v>636.4</v>
      </c>
    </row>
    <row r="33" spans="1:6" ht="15.75" x14ac:dyDescent="0.25">
      <c r="A33" s="36"/>
      <c r="B33" s="1" t="s">
        <v>255</v>
      </c>
      <c r="C33" s="16" t="s">
        <v>238</v>
      </c>
      <c r="D33" s="5">
        <f>IF(SUMPRODUCT(Volumetrics_Master!L92:L92,1/Component_Properties!E56:E56)=0,0,SUM(Volumetrics_Master!L92:L92)/SUMPRODUCT(Volumetrics_Master!L92:L92,1/Component_Properties!E56:E56))</f>
        <v>0.94000000000000006</v>
      </c>
      <c r="E33" s="5">
        <f>IF(SUMPRODUCT(Volumetrics_Master!J92:J92,1/Component_Properties!E56:E56)=0,0,SUM(Volumetrics_Master!J92:J92)/SUMPRODUCT(Volumetrics_Master!J92:J92,1/Component_Properties!E56:E56))</f>
        <v>0</v>
      </c>
      <c r="F33" s="13">
        <f>IF(SUMPRODUCT(Recombination!I76:I76,1/Component_Properties!E56:E56)=0,0,SUM(Recombination!I76:I76)/SUMPRODUCT(Recombination!I76:I76,1/Component_Properties!E56:E56))</f>
        <v>0.94000000000000006</v>
      </c>
    </row>
    <row r="36" spans="1:6" ht="21.95" customHeight="1" x14ac:dyDescent="0.25">
      <c r="A36" s="39" t="s">
        <v>258</v>
      </c>
      <c r="B36" s="36"/>
      <c r="C36" s="36"/>
      <c r="D36" s="36"/>
      <c r="E36" s="36"/>
      <c r="F36" s="36"/>
    </row>
    <row r="38" spans="1:6" x14ac:dyDescent="0.25">
      <c r="A38" s="42" t="s">
        <v>51</v>
      </c>
      <c r="B38" s="36"/>
      <c r="C38" s="36"/>
      <c r="D38" s="41">
        <f>Volumetrics_Master!B31</f>
        <v>59.68964373330077</v>
      </c>
      <c r="E38" s="36"/>
      <c r="F38" s="36"/>
    </row>
    <row r="39" spans="1:6" x14ac:dyDescent="0.25">
      <c r="A39" s="42" t="s">
        <v>52</v>
      </c>
      <c r="B39" s="36"/>
      <c r="C39" s="36"/>
      <c r="D39" s="46">
        <f>Volumetrics_Master!B32</f>
        <v>335.13227991211585</v>
      </c>
      <c r="E39" s="36"/>
      <c r="F39" s="36"/>
    </row>
    <row r="40" spans="1:6" x14ac:dyDescent="0.25">
      <c r="A40" s="42" t="s">
        <v>53</v>
      </c>
      <c r="B40" s="36"/>
      <c r="C40" s="36"/>
      <c r="D40" s="41">
        <f>Volumetrics_Master!B33</f>
        <v>1.3259950753921912</v>
      </c>
      <c r="E40" s="36"/>
      <c r="F40" s="36"/>
    </row>
    <row r="41" spans="1:6" x14ac:dyDescent="0.25">
      <c r="A41" s="42" t="s">
        <v>259</v>
      </c>
      <c r="B41" s="36"/>
      <c r="C41" s="36"/>
      <c r="D41" s="41">
        <f>Volumetrics_Master!B34</f>
        <v>0.75415061379788961</v>
      </c>
      <c r="E41" s="36"/>
      <c r="F41" s="36"/>
    </row>
    <row r="42" spans="1:6" x14ac:dyDescent="0.25">
      <c r="A42" s="42" t="s">
        <v>260</v>
      </c>
      <c r="B42" s="36"/>
      <c r="C42" s="36"/>
      <c r="D42" s="41">
        <f>Volumetrics_Master!B36</f>
        <v>0.87005635375945534</v>
      </c>
      <c r="E42" s="36"/>
      <c r="F42" s="36"/>
    </row>
    <row r="43" spans="1:6" x14ac:dyDescent="0.25">
      <c r="A43" s="42" t="s">
        <v>57</v>
      </c>
      <c r="B43" s="36"/>
      <c r="C43" s="36"/>
      <c r="D43" s="46">
        <f>Volumetrics_Master!B37</f>
        <v>31.133143690736773</v>
      </c>
      <c r="E43" s="36"/>
      <c r="F43" s="36"/>
    </row>
    <row r="44" spans="1:6" x14ac:dyDescent="0.25">
      <c r="A44" s="42" t="s">
        <v>41</v>
      </c>
      <c r="B44" s="36"/>
      <c r="C44" s="36"/>
      <c r="D44" s="41">
        <f>Volumetrics_Master!E21</f>
        <v>1.1459999999999999</v>
      </c>
      <c r="E44" s="36"/>
      <c r="F44" s="36"/>
    </row>
    <row r="45" spans="1:6" x14ac:dyDescent="0.25">
      <c r="A45" s="42" t="s">
        <v>261</v>
      </c>
      <c r="B45" s="36"/>
      <c r="C45" s="36"/>
      <c r="D45" s="41">
        <f>Volumetrics_Master!B97</f>
        <v>32.895961922000005</v>
      </c>
      <c r="E45" s="36"/>
      <c r="F45" s="36"/>
    </row>
    <row r="46" spans="1:6" x14ac:dyDescent="0.25">
      <c r="A46" s="42" t="s">
        <v>262</v>
      </c>
      <c r="B46" s="36"/>
      <c r="C46" s="36"/>
      <c r="D46" s="46">
        <f>Volumetrics_Master!B99</f>
        <v>192.97769196999997</v>
      </c>
      <c r="E46" s="36"/>
      <c r="F46" s="36"/>
    </row>
    <row r="47" spans="1:6" x14ac:dyDescent="0.25">
      <c r="A47" s="42" t="s">
        <v>263</v>
      </c>
      <c r="B47" s="36"/>
      <c r="C47" s="36"/>
      <c r="D47" s="41">
        <f>Recombination!B21</f>
        <v>135.04261222141739</v>
      </c>
      <c r="E47" s="36"/>
      <c r="F47" s="36"/>
    </row>
    <row r="48" spans="1:6" x14ac:dyDescent="0.25">
      <c r="A48" s="42" t="s">
        <v>264</v>
      </c>
      <c r="B48" s="36"/>
      <c r="C48" s="36"/>
      <c r="D48" s="43">
        <f>Recombination!B18</f>
        <v>8.788211654637075E-2</v>
      </c>
      <c r="E48" s="36"/>
      <c r="F48" s="36"/>
    </row>
    <row r="49" spans="1:6" x14ac:dyDescent="0.25">
      <c r="A49" s="42" t="s">
        <v>265</v>
      </c>
      <c r="B49" s="36"/>
      <c r="C49" s="36"/>
      <c r="D49" s="43">
        <f>Recombination!B19</f>
        <v>0.91211788345362921</v>
      </c>
      <c r="E49" s="36"/>
      <c r="F49" s="36"/>
    </row>
  </sheetData>
  <mergeCells count="35">
    <mergeCell ref="A1:F1"/>
    <mergeCell ref="D46:F46"/>
    <mergeCell ref="D40:F40"/>
    <mergeCell ref="A15:A18"/>
    <mergeCell ref="D45:F45"/>
    <mergeCell ref="A2:F2"/>
    <mergeCell ref="A42:C42"/>
    <mergeCell ref="A5:F5"/>
    <mergeCell ref="A4:F4"/>
    <mergeCell ref="D39:F39"/>
    <mergeCell ref="A43:C43"/>
    <mergeCell ref="D44:F44"/>
    <mergeCell ref="A39:C39"/>
    <mergeCell ref="A41:C41"/>
    <mergeCell ref="A49:C49"/>
    <mergeCell ref="A36:F36"/>
    <mergeCell ref="A45:C45"/>
    <mergeCell ref="D49:F49"/>
    <mergeCell ref="A47:C47"/>
    <mergeCell ref="A10:F11"/>
    <mergeCell ref="D41:F41"/>
    <mergeCell ref="A46:C46"/>
    <mergeCell ref="D48:F48"/>
    <mergeCell ref="A30:A33"/>
    <mergeCell ref="A25:A28"/>
    <mergeCell ref="D47:F47"/>
    <mergeCell ref="D43:F43"/>
    <mergeCell ref="A48:C48"/>
    <mergeCell ref="A38:C38"/>
    <mergeCell ref="D42:F42"/>
    <mergeCell ref="D38:F38"/>
    <mergeCell ref="A44:C44"/>
    <mergeCell ref="A13:F13"/>
    <mergeCell ref="A40:C40"/>
    <mergeCell ref="A20:A23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e266792-ae03-4879-9932-a7c64187f787}" enabled="1" method="Standard" siteId="{74892fe7-b6cb-43e7-912b-52194d3fd7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Volumetrics_Master</vt:lpstr>
      <vt:lpstr>Component_Properties</vt:lpstr>
      <vt:lpstr>Recombination</vt:lpstr>
      <vt:lpstr>Plus_Properties_Report</vt:lpstr>
      <vt:lpstr>API_Gravity</vt:lpstr>
      <vt:lpstr>Bo</vt:lpstr>
      <vt:lpstr>GOR_cc_cc</vt:lpstr>
      <vt:lpstr>GOR_scf_bbl</vt:lpstr>
      <vt:lpstr>MW_ConventionA</vt:lpstr>
      <vt:lpstr>MW_ConventionB</vt:lpstr>
      <vt:lpstr>Oil_Density_60F</vt:lpstr>
      <vt:lpstr>Shrinkage</vt:lpstr>
      <vt:lpstr>wf_gas</vt:lpstr>
      <vt:lpstr>wf_oil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Athif (ADNOC Technology)</dc:creator>
  <cp:keywords/>
  <dc:description/>
  <cp:lastModifiedBy>Muhammad Athif (ADNOC Technology)</cp:lastModifiedBy>
  <cp:revision/>
  <dcterms:created xsi:type="dcterms:W3CDTF">2026-07-04T12:14:58Z</dcterms:created>
  <dcterms:modified xsi:type="dcterms:W3CDTF">2026-07-06T06:28:56Z</dcterms:modified>
  <cp:category/>
  <cp:contentStatus/>
</cp:coreProperties>
</file>