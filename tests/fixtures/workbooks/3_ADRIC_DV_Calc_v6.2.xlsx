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386A22BB-AEF4-4805-B798-81F89D1FD9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_Info" sheetId="1" r:id="rId1"/>
    <sheet name="DV_Input" sheetId="2" r:id="rId2"/>
    <sheet name="Component_Properties" sheetId="3" r:id="rId3"/>
    <sheet name="Compositions_Master" sheetId="4" r:id="rId4"/>
    <sheet name="DV_Calc" sheetId="5" r:id="rId5"/>
    <sheet name="Material_Balance_QC" sheetId="6" r:id="rId6"/>
    <sheet name="Plots" sheetId="7" r:id="rId7"/>
    <sheet name="Report" sheetId="8" r:id="rId8"/>
  </sheets>
  <definedNames>
    <definedName name="Bo_fb">Sample_Info!$E$14</definedName>
    <definedName name="MB_error">DV_Calc!$B$47</definedName>
    <definedName name="MB_status">DV_Calc!$B$48</definedName>
    <definedName name="MolarBalance_QC">Material_Balance_QC!$B$85</definedName>
    <definedName name="Psat">Sample_Info!$B$13</definedName>
    <definedName name="RhoAtPsat">Sample_Info!$E$13</definedName>
    <definedName name="Rs_fb">Sample_Info!$B$14</definedName>
    <definedName name="V_at_Psat">DV_Input!$E$9</definedName>
    <definedName name="V_at_ResP">DV_Input!$B$9</definedName>
    <definedName name="V_sto">DV_Input!$B$8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6" i="8" l="1"/>
  <c r="H175" i="8"/>
  <c r="F170" i="8"/>
  <c r="D170" i="8"/>
  <c r="C170" i="8"/>
  <c r="F169" i="8"/>
  <c r="D169" i="8"/>
  <c r="C169" i="8"/>
  <c r="F168" i="8"/>
  <c r="D168" i="8"/>
  <c r="C168" i="8"/>
  <c r="F167" i="8"/>
  <c r="D167" i="8"/>
  <c r="C167" i="8"/>
  <c r="K161" i="8"/>
  <c r="J161" i="8"/>
  <c r="I161" i="8"/>
  <c r="H161" i="8"/>
  <c r="G161" i="8"/>
  <c r="F161" i="8"/>
  <c r="E161" i="8"/>
  <c r="D161" i="8"/>
  <c r="K160" i="8"/>
  <c r="J160" i="8"/>
  <c r="I160" i="8"/>
  <c r="H160" i="8"/>
  <c r="G160" i="8"/>
  <c r="F160" i="8"/>
  <c r="E160" i="8"/>
  <c r="D160" i="8"/>
  <c r="K159" i="8"/>
  <c r="J159" i="8"/>
  <c r="I159" i="8"/>
  <c r="H159" i="8"/>
  <c r="G159" i="8"/>
  <c r="F159" i="8"/>
  <c r="E159" i="8"/>
  <c r="D159" i="8"/>
  <c r="K158" i="8"/>
  <c r="J158" i="8"/>
  <c r="I158" i="8"/>
  <c r="H158" i="8"/>
  <c r="G158" i="8"/>
  <c r="F158" i="8"/>
  <c r="E158" i="8"/>
  <c r="D158" i="8"/>
  <c r="K157" i="8"/>
  <c r="J157" i="8"/>
  <c r="I157" i="8"/>
  <c r="H157" i="8"/>
  <c r="G157" i="8"/>
  <c r="F157" i="8"/>
  <c r="E157" i="8"/>
  <c r="D157" i="8"/>
  <c r="K156" i="8"/>
  <c r="J156" i="8"/>
  <c r="I156" i="8"/>
  <c r="H156" i="8"/>
  <c r="G156" i="8"/>
  <c r="F156" i="8"/>
  <c r="E156" i="8"/>
  <c r="D156" i="8"/>
  <c r="K155" i="8"/>
  <c r="J155" i="8"/>
  <c r="I155" i="8"/>
  <c r="H155" i="8"/>
  <c r="G155" i="8"/>
  <c r="F155" i="8"/>
  <c r="E155" i="8"/>
  <c r="D155" i="8"/>
  <c r="K154" i="8"/>
  <c r="J154" i="8"/>
  <c r="I154" i="8"/>
  <c r="H154" i="8"/>
  <c r="G154" i="8"/>
  <c r="F154" i="8"/>
  <c r="E154" i="8"/>
  <c r="D154" i="8"/>
  <c r="K153" i="8"/>
  <c r="J153" i="8"/>
  <c r="I153" i="8"/>
  <c r="H153" i="8"/>
  <c r="G153" i="8"/>
  <c r="F153" i="8"/>
  <c r="E153" i="8"/>
  <c r="D153" i="8"/>
  <c r="K152" i="8"/>
  <c r="J152" i="8"/>
  <c r="I152" i="8"/>
  <c r="H152" i="8"/>
  <c r="G152" i="8"/>
  <c r="F152" i="8"/>
  <c r="E152" i="8"/>
  <c r="D152" i="8"/>
  <c r="K151" i="8"/>
  <c r="J151" i="8"/>
  <c r="I151" i="8"/>
  <c r="H151" i="8"/>
  <c r="G151" i="8"/>
  <c r="F151" i="8"/>
  <c r="E151" i="8"/>
  <c r="D151" i="8"/>
  <c r="K150" i="8"/>
  <c r="J150" i="8"/>
  <c r="I150" i="8"/>
  <c r="H150" i="8"/>
  <c r="G150" i="8"/>
  <c r="F150" i="8"/>
  <c r="E150" i="8"/>
  <c r="D150" i="8"/>
  <c r="K149" i="8"/>
  <c r="J149" i="8"/>
  <c r="I149" i="8"/>
  <c r="H149" i="8"/>
  <c r="G149" i="8"/>
  <c r="F149" i="8"/>
  <c r="E149" i="8"/>
  <c r="D149" i="8"/>
  <c r="K148" i="8"/>
  <c r="J148" i="8"/>
  <c r="I148" i="8"/>
  <c r="H148" i="8"/>
  <c r="G148" i="8"/>
  <c r="F148" i="8"/>
  <c r="E148" i="8"/>
  <c r="D148" i="8"/>
  <c r="K147" i="8"/>
  <c r="J147" i="8"/>
  <c r="I147" i="8"/>
  <c r="H147" i="8"/>
  <c r="G147" i="8"/>
  <c r="F147" i="8"/>
  <c r="E147" i="8"/>
  <c r="D147" i="8"/>
  <c r="K146" i="8"/>
  <c r="J146" i="8"/>
  <c r="I146" i="8"/>
  <c r="H146" i="8"/>
  <c r="G146" i="8"/>
  <c r="F146" i="8"/>
  <c r="E146" i="8"/>
  <c r="D146" i="8"/>
  <c r="K145" i="8"/>
  <c r="J145" i="8"/>
  <c r="I145" i="8"/>
  <c r="H145" i="8"/>
  <c r="G145" i="8"/>
  <c r="F145" i="8"/>
  <c r="E145" i="8"/>
  <c r="D145" i="8"/>
  <c r="K144" i="8"/>
  <c r="J144" i="8"/>
  <c r="I144" i="8"/>
  <c r="H144" i="8"/>
  <c r="G144" i="8"/>
  <c r="F144" i="8"/>
  <c r="E144" i="8"/>
  <c r="D144" i="8"/>
  <c r="K143" i="8"/>
  <c r="J143" i="8"/>
  <c r="I143" i="8"/>
  <c r="H143" i="8"/>
  <c r="G143" i="8"/>
  <c r="F143" i="8"/>
  <c r="E143" i="8"/>
  <c r="D143" i="8"/>
  <c r="K142" i="8"/>
  <c r="J142" i="8"/>
  <c r="I142" i="8"/>
  <c r="H142" i="8"/>
  <c r="G142" i="8"/>
  <c r="F142" i="8"/>
  <c r="E142" i="8"/>
  <c r="D142" i="8"/>
  <c r="K141" i="8"/>
  <c r="J141" i="8"/>
  <c r="I141" i="8"/>
  <c r="H141" i="8"/>
  <c r="G141" i="8"/>
  <c r="F141" i="8"/>
  <c r="E141" i="8"/>
  <c r="D141" i="8"/>
  <c r="K140" i="8"/>
  <c r="J140" i="8"/>
  <c r="I140" i="8"/>
  <c r="H140" i="8"/>
  <c r="G140" i="8"/>
  <c r="F140" i="8"/>
  <c r="E140" i="8"/>
  <c r="D140" i="8"/>
  <c r="K139" i="8"/>
  <c r="J139" i="8"/>
  <c r="I139" i="8"/>
  <c r="H139" i="8"/>
  <c r="G139" i="8"/>
  <c r="F139" i="8"/>
  <c r="E139" i="8"/>
  <c r="D139" i="8"/>
  <c r="K138" i="8"/>
  <c r="J138" i="8"/>
  <c r="I138" i="8"/>
  <c r="H138" i="8"/>
  <c r="G138" i="8"/>
  <c r="F138" i="8"/>
  <c r="E138" i="8"/>
  <c r="D138" i="8"/>
  <c r="K137" i="8"/>
  <c r="J137" i="8"/>
  <c r="I137" i="8"/>
  <c r="H137" i="8"/>
  <c r="G137" i="8"/>
  <c r="F137" i="8"/>
  <c r="E137" i="8"/>
  <c r="D137" i="8"/>
  <c r="K136" i="8"/>
  <c r="J136" i="8"/>
  <c r="I136" i="8"/>
  <c r="H136" i="8"/>
  <c r="G136" i="8"/>
  <c r="F136" i="8"/>
  <c r="E136" i="8"/>
  <c r="D136" i="8"/>
  <c r="K135" i="8"/>
  <c r="J135" i="8"/>
  <c r="I135" i="8"/>
  <c r="H135" i="8"/>
  <c r="G135" i="8"/>
  <c r="F135" i="8"/>
  <c r="E135" i="8"/>
  <c r="D135" i="8"/>
  <c r="K134" i="8"/>
  <c r="J134" i="8"/>
  <c r="I134" i="8"/>
  <c r="H134" i="8"/>
  <c r="G134" i="8"/>
  <c r="F134" i="8"/>
  <c r="E134" i="8"/>
  <c r="D134" i="8"/>
  <c r="K133" i="8"/>
  <c r="J133" i="8"/>
  <c r="I133" i="8"/>
  <c r="H133" i="8"/>
  <c r="G133" i="8"/>
  <c r="F133" i="8"/>
  <c r="E133" i="8"/>
  <c r="D133" i="8"/>
  <c r="K132" i="8"/>
  <c r="J132" i="8"/>
  <c r="I132" i="8"/>
  <c r="H132" i="8"/>
  <c r="G132" i="8"/>
  <c r="F132" i="8"/>
  <c r="E132" i="8"/>
  <c r="D132" i="8"/>
  <c r="K131" i="8"/>
  <c r="J131" i="8"/>
  <c r="I131" i="8"/>
  <c r="H131" i="8"/>
  <c r="G131" i="8"/>
  <c r="F131" i="8"/>
  <c r="E131" i="8"/>
  <c r="D131" i="8"/>
  <c r="K130" i="8"/>
  <c r="J130" i="8"/>
  <c r="I130" i="8"/>
  <c r="H130" i="8"/>
  <c r="G130" i="8"/>
  <c r="F130" i="8"/>
  <c r="E130" i="8"/>
  <c r="D130" i="8"/>
  <c r="K129" i="8"/>
  <c r="J129" i="8"/>
  <c r="I129" i="8"/>
  <c r="H129" i="8"/>
  <c r="G129" i="8"/>
  <c r="F129" i="8"/>
  <c r="E129" i="8"/>
  <c r="D129" i="8"/>
  <c r="K128" i="8"/>
  <c r="J128" i="8"/>
  <c r="I128" i="8"/>
  <c r="H128" i="8"/>
  <c r="G128" i="8"/>
  <c r="F128" i="8"/>
  <c r="E128" i="8"/>
  <c r="D128" i="8"/>
  <c r="K127" i="8"/>
  <c r="J127" i="8"/>
  <c r="I127" i="8"/>
  <c r="H127" i="8"/>
  <c r="G127" i="8"/>
  <c r="F127" i="8"/>
  <c r="E127" i="8"/>
  <c r="D127" i="8"/>
  <c r="K126" i="8"/>
  <c r="J126" i="8"/>
  <c r="I126" i="8"/>
  <c r="H126" i="8"/>
  <c r="G126" i="8"/>
  <c r="F126" i="8"/>
  <c r="E126" i="8"/>
  <c r="D126" i="8"/>
  <c r="K125" i="8"/>
  <c r="J125" i="8"/>
  <c r="I125" i="8"/>
  <c r="H125" i="8"/>
  <c r="G125" i="8"/>
  <c r="F125" i="8"/>
  <c r="E125" i="8"/>
  <c r="D125" i="8"/>
  <c r="K124" i="8"/>
  <c r="J124" i="8"/>
  <c r="I124" i="8"/>
  <c r="H124" i="8"/>
  <c r="G124" i="8"/>
  <c r="F124" i="8"/>
  <c r="E124" i="8"/>
  <c r="D124" i="8"/>
  <c r="K123" i="8"/>
  <c r="J123" i="8"/>
  <c r="I123" i="8"/>
  <c r="H123" i="8"/>
  <c r="G123" i="8"/>
  <c r="F123" i="8"/>
  <c r="E123" i="8"/>
  <c r="D123" i="8"/>
  <c r="K122" i="8"/>
  <c r="J122" i="8"/>
  <c r="I122" i="8"/>
  <c r="H122" i="8"/>
  <c r="G122" i="8"/>
  <c r="F122" i="8"/>
  <c r="E122" i="8"/>
  <c r="D122" i="8"/>
  <c r="K121" i="8"/>
  <c r="J121" i="8"/>
  <c r="I121" i="8"/>
  <c r="H121" i="8"/>
  <c r="G121" i="8"/>
  <c r="F121" i="8"/>
  <c r="E121" i="8"/>
  <c r="D121" i="8"/>
  <c r="K120" i="8"/>
  <c r="J120" i="8"/>
  <c r="I120" i="8"/>
  <c r="H120" i="8"/>
  <c r="G120" i="8"/>
  <c r="F120" i="8"/>
  <c r="E120" i="8"/>
  <c r="D120" i="8"/>
  <c r="K119" i="8"/>
  <c r="J119" i="8"/>
  <c r="I119" i="8"/>
  <c r="H119" i="8"/>
  <c r="G119" i="8"/>
  <c r="F119" i="8"/>
  <c r="E119" i="8"/>
  <c r="D119" i="8"/>
  <c r="K118" i="8"/>
  <c r="J118" i="8"/>
  <c r="I118" i="8"/>
  <c r="H118" i="8"/>
  <c r="G118" i="8"/>
  <c r="F118" i="8"/>
  <c r="E118" i="8"/>
  <c r="D118" i="8"/>
  <c r="K117" i="8"/>
  <c r="J117" i="8"/>
  <c r="I117" i="8"/>
  <c r="H117" i="8"/>
  <c r="G117" i="8"/>
  <c r="F117" i="8"/>
  <c r="E117" i="8"/>
  <c r="D117" i="8"/>
  <c r="K116" i="8"/>
  <c r="J116" i="8"/>
  <c r="I116" i="8"/>
  <c r="H116" i="8"/>
  <c r="G116" i="8"/>
  <c r="F116" i="8"/>
  <c r="E116" i="8"/>
  <c r="D116" i="8"/>
  <c r="K115" i="8"/>
  <c r="J115" i="8"/>
  <c r="I115" i="8"/>
  <c r="H115" i="8"/>
  <c r="G115" i="8"/>
  <c r="F115" i="8"/>
  <c r="E115" i="8"/>
  <c r="D115" i="8"/>
  <c r="K114" i="8"/>
  <c r="J114" i="8"/>
  <c r="I114" i="8"/>
  <c r="H114" i="8"/>
  <c r="G114" i="8"/>
  <c r="F114" i="8"/>
  <c r="E114" i="8"/>
  <c r="D114" i="8"/>
  <c r="K113" i="8"/>
  <c r="J113" i="8"/>
  <c r="I113" i="8"/>
  <c r="H113" i="8"/>
  <c r="G113" i="8"/>
  <c r="F113" i="8"/>
  <c r="E113" i="8"/>
  <c r="D113" i="8"/>
  <c r="K112" i="8"/>
  <c r="J112" i="8"/>
  <c r="I112" i="8"/>
  <c r="H112" i="8"/>
  <c r="G112" i="8"/>
  <c r="F112" i="8"/>
  <c r="E112" i="8"/>
  <c r="D112" i="8"/>
  <c r="K111" i="8"/>
  <c r="J111" i="8"/>
  <c r="I111" i="8"/>
  <c r="H111" i="8"/>
  <c r="G111" i="8"/>
  <c r="F111" i="8"/>
  <c r="E111" i="8"/>
  <c r="D111" i="8"/>
  <c r="K110" i="8"/>
  <c r="K162" i="8" s="1"/>
  <c r="J110" i="8"/>
  <c r="J162" i="8" s="1"/>
  <c r="I110" i="8"/>
  <c r="I162" i="8" s="1"/>
  <c r="H110" i="8"/>
  <c r="H162" i="8" s="1"/>
  <c r="G110" i="8"/>
  <c r="G162" i="8" s="1"/>
  <c r="F110" i="8"/>
  <c r="F162" i="8" s="1"/>
  <c r="E110" i="8"/>
  <c r="E162" i="8" s="1"/>
  <c r="D110" i="8"/>
  <c r="D162" i="8" s="1"/>
  <c r="G104" i="8"/>
  <c r="F104" i="8"/>
  <c r="E104" i="8"/>
  <c r="D104" i="8"/>
  <c r="G103" i="8"/>
  <c r="F103" i="8"/>
  <c r="E103" i="8"/>
  <c r="D103" i="8"/>
  <c r="G102" i="8"/>
  <c r="F102" i="8"/>
  <c r="E102" i="8"/>
  <c r="D102" i="8"/>
  <c r="G101" i="8"/>
  <c r="F101" i="8"/>
  <c r="E101" i="8"/>
  <c r="D101" i="8"/>
  <c r="G100" i="8"/>
  <c r="F100" i="8"/>
  <c r="E100" i="8"/>
  <c r="D100" i="8"/>
  <c r="G99" i="8"/>
  <c r="F99" i="8"/>
  <c r="E99" i="8"/>
  <c r="D99" i="8"/>
  <c r="G98" i="8"/>
  <c r="F98" i="8"/>
  <c r="E98" i="8"/>
  <c r="D98" i="8"/>
  <c r="G97" i="8"/>
  <c r="F97" i="8"/>
  <c r="E97" i="8"/>
  <c r="D97" i="8"/>
  <c r="G96" i="8"/>
  <c r="F96" i="8"/>
  <c r="E96" i="8"/>
  <c r="D96" i="8"/>
  <c r="G95" i="8"/>
  <c r="F95" i="8"/>
  <c r="E95" i="8"/>
  <c r="D95" i="8"/>
  <c r="G94" i="8"/>
  <c r="F94" i="8"/>
  <c r="E94" i="8"/>
  <c r="D94" i="8"/>
  <c r="G93" i="8"/>
  <c r="F93" i="8"/>
  <c r="E93" i="8"/>
  <c r="D93" i="8"/>
  <c r="G92" i="8"/>
  <c r="F92" i="8"/>
  <c r="E92" i="8"/>
  <c r="D92" i="8"/>
  <c r="G91" i="8"/>
  <c r="F91" i="8"/>
  <c r="E91" i="8"/>
  <c r="D91" i="8"/>
  <c r="G90" i="8"/>
  <c r="F90" i="8"/>
  <c r="E90" i="8"/>
  <c r="D90" i="8"/>
  <c r="G89" i="8"/>
  <c r="F89" i="8"/>
  <c r="E89" i="8"/>
  <c r="D89" i="8"/>
  <c r="G88" i="8"/>
  <c r="F88" i="8"/>
  <c r="E88" i="8"/>
  <c r="D88" i="8"/>
  <c r="G87" i="8"/>
  <c r="F87" i="8"/>
  <c r="E87" i="8"/>
  <c r="D87" i="8"/>
  <c r="G86" i="8"/>
  <c r="F86" i="8"/>
  <c r="E86" i="8"/>
  <c r="D86" i="8"/>
  <c r="G85" i="8"/>
  <c r="F85" i="8"/>
  <c r="E85" i="8"/>
  <c r="D85" i="8"/>
  <c r="G84" i="8"/>
  <c r="F84" i="8"/>
  <c r="E84" i="8"/>
  <c r="D84" i="8"/>
  <c r="G83" i="8"/>
  <c r="F83" i="8"/>
  <c r="E83" i="8"/>
  <c r="D83" i="8"/>
  <c r="G82" i="8"/>
  <c r="F82" i="8"/>
  <c r="E82" i="8"/>
  <c r="D82" i="8"/>
  <c r="G81" i="8"/>
  <c r="F81" i="8"/>
  <c r="E81" i="8"/>
  <c r="D81" i="8"/>
  <c r="G80" i="8"/>
  <c r="F80" i="8"/>
  <c r="E80" i="8"/>
  <c r="D80" i="8"/>
  <c r="G79" i="8"/>
  <c r="F79" i="8"/>
  <c r="E79" i="8"/>
  <c r="D79" i="8"/>
  <c r="G78" i="8"/>
  <c r="F78" i="8"/>
  <c r="E78" i="8"/>
  <c r="D78" i="8"/>
  <c r="G77" i="8"/>
  <c r="F77" i="8"/>
  <c r="E77" i="8"/>
  <c r="D77" i="8"/>
  <c r="G76" i="8"/>
  <c r="F76" i="8"/>
  <c r="E76" i="8"/>
  <c r="D76" i="8"/>
  <c r="G75" i="8"/>
  <c r="F75" i="8"/>
  <c r="E75" i="8"/>
  <c r="D75" i="8"/>
  <c r="G74" i="8"/>
  <c r="F74" i="8"/>
  <c r="E74" i="8"/>
  <c r="D74" i="8"/>
  <c r="G73" i="8"/>
  <c r="F73" i="8"/>
  <c r="E73" i="8"/>
  <c r="D73" i="8"/>
  <c r="G72" i="8"/>
  <c r="F72" i="8"/>
  <c r="E72" i="8"/>
  <c r="D72" i="8"/>
  <c r="G71" i="8"/>
  <c r="F71" i="8"/>
  <c r="E71" i="8"/>
  <c r="D71" i="8"/>
  <c r="G70" i="8"/>
  <c r="F70" i="8"/>
  <c r="E70" i="8"/>
  <c r="D70" i="8"/>
  <c r="G69" i="8"/>
  <c r="F69" i="8"/>
  <c r="E69" i="8"/>
  <c r="D69" i="8"/>
  <c r="G68" i="8"/>
  <c r="F68" i="8"/>
  <c r="E68" i="8"/>
  <c r="D68" i="8"/>
  <c r="G67" i="8"/>
  <c r="F67" i="8"/>
  <c r="E67" i="8"/>
  <c r="D67" i="8"/>
  <c r="G66" i="8"/>
  <c r="F66" i="8"/>
  <c r="E66" i="8"/>
  <c r="D66" i="8"/>
  <c r="G65" i="8"/>
  <c r="F65" i="8"/>
  <c r="E65" i="8"/>
  <c r="D65" i="8"/>
  <c r="G64" i="8"/>
  <c r="F64" i="8"/>
  <c r="E64" i="8"/>
  <c r="D64" i="8"/>
  <c r="G63" i="8"/>
  <c r="F63" i="8"/>
  <c r="E63" i="8"/>
  <c r="D63" i="8"/>
  <c r="G62" i="8"/>
  <c r="F62" i="8"/>
  <c r="E62" i="8"/>
  <c r="D62" i="8"/>
  <c r="G61" i="8"/>
  <c r="F61" i="8"/>
  <c r="E61" i="8"/>
  <c r="D61" i="8"/>
  <c r="G60" i="8"/>
  <c r="F60" i="8"/>
  <c r="E60" i="8"/>
  <c r="D60" i="8"/>
  <c r="G59" i="8"/>
  <c r="F59" i="8"/>
  <c r="E59" i="8"/>
  <c r="D59" i="8"/>
  <c r="G58" i="8"/>
  <c r="F58" i="8"/>
  <c r="E58" i="8"/>
  <c r="D58" i="8"/>
  <c r="G57" i="8"/>
  <c r="F57" i="8"/>
  <c r="E57" i="8"/>
  <c r="D57" i="8"/>
  <c r="G56" i="8"/>
  <c r="F56" i="8"/>
  <c r="E56" i="8"/>
  <c r="D56" i="8"/>
  <c r="G55" i="8"/>
  <c r="F55" i="8"/>
  <c r="E55" i="8"/>
  <c r="D55" i="8"/>
  <c r="G54" i="8"/>
  <c r="F54" i="8"/>
  <c r="E54" i="8"/>
  <c r="D54" i="8"/>
  <c r="G53" i="8"/>
  <c r="G105" i="8" s="1"/>
  <c r="F53" i="8"/>
  <c r="F105" i="8" s="1"/>
  <c r="E53" i="8"/>
  <c r="E105" i="8" s="1"/>
  <c r="D53" i="8"/>
  <c r="D105" i="8" s="1"/>
  <c r="H7" i="8"/>
  <c r="E7" i="8"/>
  <c r="B7" i="8"/>
  <c r="H6" i="8"/>
  <c r="E6" i="8"/>
  <c r="B6" i="8"/>
  <c r="H5" i="8"/>
  <c r="E5" i="8"/>
  <c r="B5" i="8"/>
  <c r="I156" i="6"/>
  <c r="H156" i="6"/>
  <c r="G156" i="6"/>
  <c r="F156" i="6"/>
  <c r="E156" i="6"/>
  <c r="D156" i="6"/>
  <c r="I155" i="6"/>
  <c r="H155" i="6"/>
  <c r="G155" i="6"/>
  <c r="F155" i="6"/>
  <c r="E155" i="6"/>
  <c r="D155" i="6"/>
  <c r="I154" i="6"/>
  <c r="H154" i="6"/>
  <c r="G154" i="6"/>
  <c r="F154" i="6"/>
  <c r="E154" i="6"/>
  <c r="D154" i="6"/>
  <c r="I153" i="6"/>
  <c r="H153" i="6"/>
  <c r="G153" i="6"/>
  <c r="F153" i="6"/>
  <c r="E153" i="6"/>
  <c r="D153" i="6"/>
  <c r="I152" i="6"/>
  <c r="H152" i="6"/>
  <c r="G152" i="6"/>
  <c r="F152" i="6"/>
  <c r="E152" i="6"/>
  <c r="D152" i="6"/>
  <c r="I151" i="6"/>
  <c r="H151" i="6"/>
  <c r="G151" i="6"/>
  <c r="F151" i="6"/>
  <c r="E151" i="6"/>
  <c r="D151" i="6"/>
  <c r="I150" i="6"/>
  <c r="H150" i="6"/>
  <c r="G150" i="6"/>
  <c r="F150" i="6"/>
  <c r="E150" i="6"/>
  <c r="D150" i="6"/>
  <c r="I149" i="6"/>
  <c r="H149" i="6"/>
  <c r="G149" i="6"/>
  <c r="F149" i="6"/>
  <c r="E149" i="6"/>
  <c r="D149" i="6"/>
  <c r="H145" i="6"/>
  <c r="G145" i="6"/>
  <c r="F145" i="6"/>
  <c r="E145" i="6"/>
  <c r="D145" i="6"/>
  <c r="H144" i="6"/>
  <c r="G144" i="6"/>
  <c r="F144" i="6"/>
  <c r="E144" i="6"/>
  <c r="D144" i="6"/>
  <c r="H143" i="6"/>
  <c r="G143" i="6"/>
  <c r="F143" i="6"/>
  <c r="E143" i="6"/>
  <c r="D143" i="6"/>
  <c r="H142" i="6"/>
  <c r="G142" i="6"/>
  <c r="F142" i="6"/>
  <c r="E142" i="6"/>
  <c r="D142" i="6"/>
  <c r="H141" i="6"/>
  <c r="G141" i="6"/>
  <c r="F141" i="6"/>
  <c r="E141" i="6"/>
  <c r="D141" i="6"/>
  <c r="H140" i="6"/>
  <c r="G140" i="6"/>
  <c r="F140" i="6"/>
  <c r="E140" i="6"/>
  <c r="D140" i="6"/>
  <c r="H139" i="6"/>
  <c r="G139" i="6"/>
  <c r="F139" i="6"/>
  <c r="E139" i="6"/>
  <c r="D139" i="6"/>
  <c r="H138" i="6"/>
  <c r="G138" i="6"/>
  <c r="F138" i="6"/>
  <c r="E138" i="6"/>
  <c r="D138" i="6"/>
  <c r="H137" i="6"/>
  <c r="G137" i="6"/>
  <c r="F137" i="6"/>
  <c r="E137" i="6"/>
  <c r="D137" i="6"/>
  <c r="H136" i="6"/>
  <c r="G136" i="6"/>
  <c r="F136" i="6"/>
  <c r="E136" i="6"/>
  <c r="D136" i="6"/>
  <c r="H135" i="6"/>
  <c r="G135" i="6"/>
  <c r="F135" i="6"/>
  <c r="E135" i="6"/>
  <c r="D135" i="6"/>
  <c r="H134" i="6"/>
  <c r="G134" i="6"/>
  <c r="F134" i="6"/>
  <c r="E134" i="6"/>
  <c r="D134" i="6"/>
  <c r="H133" i="6"/>
  <c r="G133" i="6"/>
  <c r="F133" i="6"/>
  <c r="E133" i="6"/>
  <c r="D133" i="6"/>
  <c r="H132" i="6"/>
  <c r="G132" i="6"/>
  <c r="F132" i="6"/>
  <c r="E132" i="6"/>
  <c r="D132" i="6"/>
  <c r="H131" i="6"/>
  <c r="G131" i="6"/>
  <c r="F131" i="6"/>
  <c r="E131" i="6"/>
  <c r="D131" i="6"/>
  <c r="H130" i="6"/>
  <c r="G130" i="6"/>
  <c r="F130" i="6"/>
  <c r="E130" i="6"/>
  <c r="D130" i="6"/>
  <c r="H129" i="6"/>
  <c r="G129" i="6"/>
  <c r="F129" i="6"/>
  <c r="E129" i="6"/>
  <c r="D129" i="6"/>
  <c r="H128" i="6"/>
  <c r="G128" i="6"/>
  <c r="F128" i="6"/>
  <c r="E128" i="6"/>
  <c r="D128" i="6"/>
  <c r="H127" i="6"/>
  <c r="G127" i="6"/>
  <c r="F127" i="6"/>
  <c r="E127" i="6"/>
  <c r="D127" i="6"/>
  <c r="H126" i="6"/>
  <c r="G126" i="6"/>
  <c r="F126" i="6"/>
  <c r="E126" i="6"/>
  <c r="D126" i="6"/>
  <c r="H125" i="6"/>
  <c r="G125" i="6"/>
  <c r="F125" i="6"/>
  <c r="E125" i="6"/>
  <c r="D125" i="6"/>
  <c r="H124" i="6"/>
  <c r="G124" i="6"/>
  <c r="F124" i="6"/>
  <c r="E124" i="6"/>
  <c r="D124" i="6"/>
  <c r="H123" i="6"/>
  <c r="G123" i="6"/>
  <c r="F123" i="6"/>
  <c r="E123" i="6"/>
  <c r="D123" i="6"/>
  <c r="H122" i="6"/>
  <c r="G122" i="6"/>
  <c r="F122" i="6"/>
  <c r="E122" i="6"/>
  <c r="D122" i="6"/>
  <c r="H121" i="6"/>
  <c r="G121" i="6"/>
  <c r="F121" i="6"/>
  <c r="E121" i="6"/>
  <c r="D121" i="6"/>
  <c r="H120" i="6"/>
  <c r="G120" i="6"/>
  <c r="F120" i="6"/>
  <c r="E120" i="6"/>
  <c r="D120" i="6"/>
  <c r="H119" i="6"/>
  <c r="G119" i="6"/>
  <c r="F119" i="6"/>
  <c r="E119" i="6"/>
  <c r="D119" i="6"/>
  <c r="H118" i="6"/>
  <c r="G118" i="6"/>
  <c r="F118" i="6"/>
  <c r="E118" i="6"/>
  <c r="D118" i="6"/>
  <c r="H117" i="6"/>
  <c r="G117" i="6"/>
  <c r="F117" i="6"/>
  <c r="E117" i="6"/>
  <c r="D117" i="6"/>
  <c r="H116" i="6"/>
  <c r="G116" i="6"/>
  <c r="F116" i="6"/>
  <c r="E116" i="6"/>
  <c r="D116" i="6"/>
  <c r="H115" i="6"/>
  <c r="G115" i="6"/>
  <c r="F115" i="6"/>
  <c r="E115" i="6"/>
  <c r="D115" i="6"/>
  <c r="H114" i="6"/>
  <c r="G114" i="6"/>
  <c r="F114" i="6"/>
  <c r="E114" i="6"/>
  <c r="D114" i="6"/>
  <c r="H113" i="6"/>
  <c r="G113" i="6"/>
  <c r="F113" i="6"/>
  <c r="E113" i="6"/>
  <c r="D113" i="6"/>
  <c r="H112" i="6"/>
  <c r="G112" i="6"/>
  <c r="F112" i="6"/>
  <c r="E112" i="6"/>
  <c r="D112" i="6"/>
  <c r="H111" i="6"/>
  <c r="G111" i="6"/>
  <c r="F111" i="6"/>
  <c r="E111" i="6"/>
  <c r="D111" i="6"/>
  <c r="H110" i="6"/>
  <c r="G110" i="6"/>
  <c r="F110" i="6"/>
  <c r="E110" i="6"/>
  <c r="D110" i="6"/>
  <c r="H109" i="6"/>
  <c r="G109" i="6"/>
  <c r="F109" i="6"/>
  <c r="E109" i="6"/>
  <c r="D109" i="6"/>
  <c r="H108" i="6"/>
  <c r="G108" i="6"/>
  <c r="F108" i="6"/>
  <c r="E108" i="6"/>
  <c r="D108" i="6"/>
  <c r="H107" i="6"/>
  <c r="G107" i="6"/>
  <c r="F107" i="6"/>
  <c r="E107" i="6"/>
  <c r="D107" i="6"/>
  <c r="H106" i="6"/>
  <c r="G106" i="6"/>
  <c r="F106" i="6"/>
  <c r="E106" i="6"/>
  <c r="D106" i="6"/>
  <c r="H105" i="6"/>
  <c r="G105" i="6"/>
  <c r="F105" i="6"/>
  <c r="E105" i="6"/>
  <c r="D105" i="6"/>
  <c r="H104" i="6"/>
  <c r="G104" i="6"/>
  <c r="F104" i="6"/>
  <c r="E104" i="6"/>
  <c r="D104" i="6"/>
  <c r="H103" i="6"/>
  <c r="I103" i="6" s="1"/>
  <c r="J103" i="6" s="1"/>
  <c r="G103" i="6"/>
  <c r="F103" i="6"/>
  <c r="E103" i="6"/>
  <c r="D103" i="6"/>
  <c r="H102" i="6"/>
  <c r="G102" i="6"/>
  <c r="F102" i="6"/>
  <c r="E102" i="6"/>
  <c r="D102" i="6"/>
  <c r="H101" i="6"/>
  <c r="G101" i="6"/>
  <c r="F101" i="6"/>
  <c r="E101" i="6"/>
  <c r="D101" i="6"/>
  <c r="H100" i="6"/>
  <c r="G100" i="6"/>
  <c r="F100" i="6"/>
  <c r="E100" i="6"/>
  <c r="D100" i="6"/>
  <c r="H99" i="6"/>
  <c r="G99" i="6"/>
  <c r="F99" i="6"/>
  <c r="E99" i="6"/>
  <c r="D99" i="6"/>
  <c r="H98" i="6"/>
  <c r="I98" i="6" s="1"/>
  <c r="J98" i="6" s="1"/>
  <c r="G98" i="6"/>
  <c r="F98" i="6"/>
  <c r="E98" i="6"/>
  <c r="D98" i="6"/>
  <c r="H97" i="6"/>
  <c r="I97" i="6" s="1"/>
  <c r="J97" i="6" s="1"/>
  <c r="G97" i="6"/>
  <c r="F97" i="6"/>
  <c r="E97" i="6"/>
  <c r="D97" i="6"/>
  <c r="H96" i="6"/>
  <c r="I96" i="6" s="1"/>
  <c r="J96" i="6" s="1"/>
  <c r="G96" i="6"/>
  <c r="F96" i="6"/>
  <c r="E96" i="6"/>
  <c r="D96" i="6"/>
  <c r="H95" i="6"/>
  <c r="I95" i="6" s="1"/>
  <c r="J95" i="6" s="1"/>
  <c r="G95" i="6"/>
  <c r="F95" i="6"/>
  <c r="E95" i="6"/>
  <c r="D95" i="6"/>
  <c r="H94" i="6"/>
  <c r="I94" i="6" s="1"/>
  <c r="J94" i="6" s="1"/>
  <c r="G94" i="6"/>
  <c r="F94" i="6"/>
  <c r="E94" i="6"/>
  <c r="D94" i="6"/>
  <c r="I77" i="6"/>
  <c r="E77" i="6"/>
  <c r="D77" i="6"/>
  <c r="I76" i="6"/>
  <c r="E76" i="6"/>
  <c r="D76" i="6"/>
  <c r="I75" i="6"/>
  <c r="E75" i="6"/>
  <c r="D75" i="6"/>
  <c r="I74" i="6"/>
  <c r="E74" i="6"/>
  <c r="D74" i="6"/>
  <c r="I73" i="6"/>
  <c r="E73" i="6"/>
  <c r="D73" i="6"/>
  <c r="I72" i="6"/>
  <c r="E72" i="6"/>
  <c r="D72" i="6"/>
  <c r="I71" i="6"/>
  <c r="E71" i="6"/>
  <c r="D71" i="6"/>
  <c r="I70" i="6"/>
  <c r="E70" i="6"/>
  <c r="D70" i="6"/>
  <c r="I69" i="6"/>
  <c r="E69" i="6"/>
  <c r="D69" i="6"/>
  <c r="I68" i="6"/>
  <c r="E68" i="6"/>
  <c r="D68" i="6"/>
  <c r="I67" i="6"/>
  <c r="E67" i="6"/>
  <c r="D67" i="6"/>
  <c r="I66" i="6"/>
  <c r="E66" i="6"/>
  <c r="D66" i="6"/>
  <c r="I65" i="6"/>
  <c r="E65" i="6"/>
  <c r="D65" i="6"/>
  <c r="I64" i="6"/>
  <c r="E64" i="6"/>
  <c r="D64" i="6"/>
  <c r="I63" i="6"/>
  <c r="E63" i="6"/>
  <c r="D63" i="6"/>
  <c r="I62" i="6"/>
  <c r="E62" i="6"/>
  <c r="D62" i="6"/>
  <c r="I61" i="6"/>
  <c r="E61" i="6"/>
  <c r="D61" i="6"/>
  <c r="I60" i="6"/>
  <c r="E60" i="6"/>
  <c r="D60" i="6"/>
  <c r="I59" i="6"/>
  <c r="E59" i="6"/>
  <c r="D59" i="6"/>
  <c r="I58" i="6"/>
  <c r="E58" i="6"/>
  <c r="D58" i="6"/>
  <c r="I57" i="6"/>
  <c r="E57" i="6"/>
  <c r="D57" i="6"/>
  <c r="I56" i="6"/>
  <c r="E56" i="6"/>
  <c r="D56" i="6"/>
  <c r="I55" i="6"/>
  <c r="E55" i="6"/>
  <c r="D55" i="6"/>
  <c r="I54" i="6"/>
  <c r="E54" i="6"/>
  <c r="D54" i="6"/>
  <c r="I53" i="6"/>
  <c r="E53" i="6"/>
  <c r="D53" i="6"/>
  <c r="I52" i="6"/>
  <c r="E52" i="6"/>
  <c r="D52" i="6"/>
  <c r="I51" i="6"/>
  <c r="E51" i="6"/>
  <c r="D51" i="6"/>
  <c r="I50" i="6"/>
  <c r="E50" i="6"/>
  <c r="D50" i="6"/>
  <c r="I49" i="6"/>
  <c r="E49" i="6"/>
  <c r="D49" i="6"/>
  <c r="I48" i="6"/>
  <c r="E48" i="6"/>
  <c r="D48" i="6"/>
  <c r="I47" i="6"/>
  <c r="E47" i="6"/>
  <c r="D47" i="6"/>
  <c r="I46" i="6"/>
  <c r="E46" i="6"/>
  <c r="D46" i="6"/>
  <c r="I45" i="6"/>
  <c r="E45" i="6"/>
  <c r="D45" i="6"/>
  <c r="I44" i="6"/>
  <c r="E44" i="6"/>
  <c r="D44" i="6"/>
  <c r="I43" i="6"/>
  <c r="E43" i="6"/>
  <c r="D43" i="6"/>
  <c r="I42" i="6"/>
  <c r="E42" i="6"/>
  <c r="D42" i="6"/>
  <c r="I41" i="6"/>
  <c r="E41" i="6"/>
  <c r="D41" i="6"/>
  <c r="I40" i="6"/>
  <c r="E40" i="6"/>
  <c r="D40" i="6"/>
  <c r="I39" i="6"/>
  <c r="E39" i="6"/>
  <c r="D39" i="6"/>
  <c r="I38" i="6"/>
  <c r="E38" i="6"/>
  <c r="D38" i="6"/>
  <c r="I37" i="6"/>
  <c r="E37" i="6"/>
  <c r="D37" i="6"/>
  <c r="I36" i="6"/>
  <c r="E36" i="6"/>
  <c r="D36" i="6"/>
  <c r="I35" i="6"/>
  <c r="E35" i="6"/>
  <c r="D35" i="6"/>
  <c r="I34" i="6"/>
  <c r="E34" i="6"/>
  <c r="D34" i="6"/>
  <c r="I33" i="6"/>
  <c r="E33" i="6"/>
  <c r="D33" i="6"/>
  <c r="I32" i="6"/>
  <c r="E32" i="6"/>
  <c r="D32" i="6"/>
  <c r="I31" i="6"/>
  <c r="E31" i="6"/>
  <c r="D31" i="6"/>
  <c r="I30" i="6"/>
  <c r="E30" i="6"/>
  <c r="D30" i="6"/>
  <c r="I29" i="6"/>
  <c r="E29" i="6"/>
  <c r="D29" i="6"/>
  <c r="I28" i="6"/>
  <c r="E28" i="6"/>
  <c r="D28" i="6"/>
  <c r="I27" i="6"/>
  <c r="E27" i="6"/>
  <c r="D27" i="6"/>
  <c r="I26" i="6"/>
  <c r="E26" i="6"/>
  <c r="E78" i="6" s="1"/>
  <c r="D26" i="6"/>
  <c r="M40" i="5"/>
  <c r="L40" i="5"/>
  <c r="D40" i="5"/>
  <c r="R40" i="5" s="1"/>
  <c r="B40" i="5"/>
  <c r="A40" i="5"/>
  <c r="A31" i="7" s="1"/>
  <c r="M39" i="5"/>
  <c r="L39" i="5"/>
  <c r="D39" i="5"/>
  <c r="R39" i="5" s="1"/>
  <c r="B39" i="5"/>
  <c r="A39" i="5"/>
  <c r="A30" i="7" s="1"/>
  <c r="M38" i="5"/>
  <c r="L38" i="5"/>
  <c r="D38" i="5"/>
  <c r="R38" i="5" s="1"/>
  <c r="B38" i="5"/>
  <c r="A38" i="5"/>
  <c r="A29" i="7" s="1"/>
  <c r="M37" i="5"/>
  <c r="L37" i="5"/>
  <c r="D37" i="5"/>
  <c r="R37" i="5" s="1"/>
  <c r="B37" i="5"/>
  <c r="A37" i="5"/>
  <c r="A28" i="7" s="1"/>
  <c r="M36" i="5"/>
  <c r="L36" i="5"/>
  <c r="D36" i="5"/>
  <c r="R36" i="5" s="1"/>
  <c r="B36" i="5"/>
  <c r="A36" i="5"/>
  <c r="A27" i="7" s="1"/>
  <c r="M35" i="5"/>
  <c r="L35" i="5"/>
  <c r="D35" i="5"/>
  <c r="R35" i="5" s="1"/>
  <c r="B35" i="5"/>
  <c r="A35" i="5"/>
  <c r="A26" i="7" s="1"/>
  <c r="M34" i="5"/>
  <c r="L34" i="5"/>
  <c r="D34" i="5"/>
  <c r="R34" i="5" s="1"/>
  <c r="B34" i="5"/>
  <c r="A34" i="5"/>
  <c r="A25" i="7" s="1"/>
  <c r="M33" i="5"/>
  <c r="L33" i="5"/>
  <c r="D33" i="5"/>
  <c r="R33" i="5" s="1"/>
  <c r="B33" i="5"/>
  <c r="A33" i="5"/>
  <c r="A24" i="7" s="1"/>
  <c r="M32" i="5"/>
  <c r="L32" i="5"/>
  <c r="D32" i="5"/>
  <c r="R32" i="5" s="1"/>
  <c r="B32" i="5"/>
  <c r="A32" i="5"/>
  <c r="A23" i="7" s="1"/>
  <c r="M31" i="5"/>
  <c r="L31" i="5"/>
  <c r="D31" i="5"/>
  <c r="R31" i="5" s="1"/>
  <c r="B31" i="5"/>
  <c r="A31" i="5"/>
  <c r="A22" i="7" s="1"/>
  <c r="M30" i="5"/>
  <c r="L30" i="5"/>
  <c r="D30" i="5"/>
  <c r="R30" i="5" s="1"/>
  <c r="B30" i="5"/>
  <c r="A30" i="5"/>
  <c r="A21" i="7" s="1"/>
  <c r="M29" i="5"/>
  <c r="L29" i="5"/>
  <c r="D29" i="5"/>
  <c r="R29" i="5" s="1"/>
  <c r="B29" i="5"/>
  <c r="A29" i="5"/>
  <c r="A20" i="7" s="1"/>
  <c r="M28" i="5"/>
  <c r="L28" i="5"/>
  <c r="D28" i="5"/>
  <c r="R28" i="5" s="1"/>
  <c r="B28" i="5"/>
  <c r="A28" i="5"/>
  <c r="A19" i="7" s="1"/>
  <c r="M27" i="5"/>
  <c r="L27" i="5"/>
  <c r="D27" i="5"/>
  <c r="R27" i="5" s="1"/>
  <c r="B27" i="5"/>
  <c r="A27" i="5"/>
  <c r="A18" i="7" s="1"/>
  <c r="M26" i="5"/>
  <c r="L26" i="5"/>
  <c r="D26" i="5"/>
  <c r="R26" i="5" s="1"/>
  <c r="B26" i="5"/>
  <c r="A26" i="5"/>
  <c r="A17" i="7" s="1"/>
  <c r="M25" i="5"/>
  <c r="L25" i="5"/>
  <c r="D25" i="5"/>
  <c r="R25" i="5" s="1"/>
  <c r="B25" i="5"/>
  <c r="A25" i="5"/>
  <c r="A16" i="7" s="1"/>
  <c r="M24" i="5"/>
  <c r="L24" i="5"/>
  <c r="D24" i="5"/>
  <c r="R24" i="5" s="1"/>
  <c r="B24" i="5"/>
  <c r="A24" i="5"/>
  <c r="A15" i="7" s="1"/>
  <c r="M23" i="5"/>
  <c r="D23" i="5"/>
  <c r="R23" i="5" s="1"/>
  <c r="B23" i="5"/>
  <c r="A23" i="5"/>
  <c r="A14" i="7" s="1"/>
  <c r="M22" i="5"/>
  <c r="D22" i="5"/>
  <c r="R22" i="5" s="1"/>
  <c r="B22" i="5"/>
  <c r="A22" i="5"/>
  <c r="A13" i="7" s="1"/>
  <c r="M21" i="5"/>
  <c r="D21" i="5"/>
  <c r="R21" i="5" s="1"/>
  <c r="B21" i="5"/>
  <c r="A21" i="5"/>
  <c r="A12" i="7" s="1"/>
  <c r="M20" i="5"/>
  <c r="D20" i="5"/>
  <c r="R20" i="5" s="1"/>
  <c r="B20" i="5"/>
  <c r="A20" i="5"/>
  <c r="A11" i="7" s="1"/>
  <c r="M19" i="5"/>
  <c r="D19" i="5"/>
  <c r="R19" i="5" s="1"/>
  <c r="B19" i="5"/>
  <c r="A19" i="5"/>
  <c r="A10" i="7" s="1"/>
  <c r="M18" i="5"/>
  <c r="D18" i="5"/>
  <c r="R18" i="5" s="1"/>
  <c r="B18" i="5"/>
  <c r="A18" i="5"/>
  <c r="A9" i="7" s="1"/>
  <c r="M17" i="5"/>
  <c r="D17" i="5"/>
  <c r="R17" i="5" s="1"/>
  <c r="B17" i="5"/>
  <c r="A17" i="5"/>
  <c r="A8" i="7" s="1"/>
  <c r="M16" i="5"/>
  <c r="D16" i="5"/>
  <c r="R16" i="5" s="1"/>
  <c r="B16" i="5"/>
  <c r="A16" i="5"/>
  <c r="A7" i="7" s="1"/>
  <c r="M15" i="5"/>
  <c r="L15" i="5"/>
  <c r="D15" i="5"/>
  <c r="B15" i="5"/>
  <c r="A15" i="5"/>
  <c r="A6" i="7" s="1"/>
  <c r="E8" i="5"/>
  <c r="B7" i="6" s="1"/>
  <c r="B8" i="5"/>
  <c r="E7" i="5"/>
  <c r="B7" i="5"/>
  <c r="E6" i="5"/>
  <c r="B6" i="5"/>
  <c r="B90" i="6" s="1"/>
  <c r="E5" i="5"/>
  <c r="B5" i="5"/>
  <c r="V67" i="4"/>
  <c r="T67" i="4"/>
  <c r="F67" i="4"/>
  <c r="H176" i="8" s="1"/>
  <c r="V65" i="4"/>
  <c r="T65" i="4"/>
  <c r="R65" i="4"/>
  <c r="P65" i="4"/>
  <c r="N65" i="4"/>
  <c r="L65" i="4"/>
  <c r="J65" i="4"/>
  <c r="H65" i="4"/>
  <c r="F65" i="4"/>
  <c r="V64" i="4"/>
  <c r="T64" i="4"/>
  <c r="F64" i="4"/>
  <c r="Y60" i="4"/>
  <c r="Y61" i="4" s="1"/>
  <c r="X60" i="4"/>
  <c r="X61" i="4" s="1"/>
  <c r="W60" i="4"/>
  <c r="W61" i="4" s="1"/>
  <c r="V60" i="4"/>
  <c r="V61" i="4" s="1"/>
  <c r="U60" i="4"/>
  <c r="U61" i="4" s="1"/>
  <c r="T60" i="4"/>
  <c r="T61" i="4" s="1"/>
  <c r="S60" i="4"/>
  <c r="S61" i="4" s="1"/>
  <c r="R60" i="4"/>
  <c r="R61" i="4" s="1"/>
  <c r="Q60" i="4"/>
  <c r="Q61" i="4" s="1"/>
  <c r="P60" i="4"/>
  <c r="P61" i="4" s="1"/>
  <c r="O60" i="4"/>
  <c r="O61" i="4" s="1"/>
  <c r="N60" i="4"/>
  <c r="N61" i="4" s="1"/>
  <c r="M60" i="4"/>
  <c r="M61" i="4" s="1"/>
  <c r="L60" i="4"/>
  <c r="L61" i="4" s="1"/>
  <c r="K60" i="4"/>
  <c r="K61" i="4" s="1"/>
  <c r="J60" i="4"/>
  <c r="J61" i="4" s="1"/>
  <c r="I60" i="4"/>
  <c r="I61" i="4" s="1"/>
  <c r="H60" i="4"/>
  <c r="H61" i="4" s="1"/>
  <c r="G60" i="4"/>
  <c r="G61" i="4" s="1"/>
  <c r="F60" i="4"/>
  <c r="F61" i="4" s="1"/>
  <c r="E59" i="4"/>
  <c r="D59" i="4"/>
  <c r="G170" i="8" s="1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V6" i="4"/>
  <c r="T6" i="4"/>
  <c r="R6" i="4"/>
  <c r="P6" i="4"/>
  <c r="N6" i="4"/>
  <c r="L6" i="4"/>
  <c r="J6" i="4"/>
  <c r="H6" i="4"/>
  <c r="F6" i="4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8" i="2"/>
  <c r="H48" i="2"/>
  <c r="K48" i="2" s="1"/>
  <c r="I47" i="2"/>
  <c r="H47" i="2"/>
  <c r="K47" i="2" s="1"/>
  <c r="I46" i="2"/>
  <c r="H46" i="2"/>
  <c r="K46" i="2" s="1"/>
  <c r="I45" i="2"/>
  <c r="H45" i="2"/>
  <c r="K45" i="2" s="1"/>
  <c r="I44" i="2"/>
  <c r="H44" i="2"/>
  <c r="K44" i="2" s="1"/>
  <c r="I43" i="2"/>
  <c r="H43" i="2"/>
  <c r="K43" i="2" s="1"/>
  <c r="I42" i="2"/>
  <c r="H42" i="2"/>
  <c r="K42" i="2" s="1"/>
  <c r="I41" i="2"/>
  <c r="H41" i="2"/>
  <c r="K41" i="2" s="1"/>
  <c r="I40" i="2"/>
  <c r="H40" i="2"/>
  <c r="K40" i="2" s="1"/>
  <c r="I39" i="2"/>
  <c r="H39" i="2"/>
  <c r="K39" i="2" s="1"/>
  <c r="I38" i="2"/>
  <c r="H38" i="2"/>
  <c r="K38" i="2" s="1"/>
  <c r="I37" i="2"/>
  <c r="H37" i="2"/>
  <c r="K37" i="2" s="1"/>
  <c r="I36" i="2"/>
  <c r="H36" i="2"/>
  <c r="K36" i="2" s="1"/>
  <c r="I35" i="2"/>
  <c r="H35" i="2"/>
  <c r="K35" i="2" s="1"/>
  <c r="I34" i="2"/>
  <c r="H34" i="2"/>
  <c r="K34" i="2" s="1"/>
  <c r="I33" i="2"/>
  <c r="H33" i="2"/>
  <c r="K33" i="2" s="1"/>
  <c r="I32" i="2"/>
  <c r="H32" i="2"/>
  <c r="K32" i="2" s="1"/>
  <c r="M31" i="2"/>
  <c r="I31" i="2"/>
  <c r="H31" i="2"/>
  <c r="K31" i="2" s="1"/>
  <c r="M30" i="2"/>
  <c r="I30" i="2"/>
  <c r="H30" i="2"/>
  <c r="K30" i="2" s="1"/>
  <c r="I29" i="2"/>
  <c r="H29" i="2"/>
  <c r="K29" i="2" s="1"/>
  <c r="I28" i="2"/>
  <c r="H28" i="2"/>
  <c r="K28" i="2" s="1"/>
  <c r="I27" i="2"/>
  <c r="H27" i="2"/>
  <c r="K27" i="2" s="1"/>
  <c r="I26" i="2"/>
  <c r="H26" i="2"/>
  <c r="K26" i="2" s="1"/>
  <c r="I25" i="2"/>
  <c r="H25" i="2"/>
  <c r="K25" i="2" s="1"/>
  <c r="I24" i="2"/>
  <c r="H24" i="2"/>
  <c r="K24" i="2" s="1"/>
  <c r="I23" i="2"/>
  <c r="H23" i="2"/>
  <c r="K23" i="2" s="1"/>
  <c r="B12" i="2"/>
  <c r="E7" i="2"/>
  <c r="B7" i="2"/>
  <c r="E6" i="2"/>
  <c r="B6" i="2"/>
  <c r="E5" i="2"/>
  <c r="B5" i="2"/>
  <c r="C48" i="2" l="1"/>
  <c r="C40" i="5" s="1"/>
  <c r="C47" i="2"/>
  <c r="C39" i="5" s="1"/>
  <c r="C46" i="2"/>
  <c r="C38" i="5" s="1"/>
  <c r="C45" i="2"/>
  <c r="C37" i="5" s="1"/>
  <c r="C44" i="2"/>
  <c r="C36" i="5" s="1"/>
  <c r="C43" i="2"/>
  <c r="C35" i="5" s="1"/>
  <c r="C42" i="2"/>
  <c r="C34" i="5" s="1"/>
  <c r="C41" i="2"/>
  <c r="C33" i="5" s="1"/>
  <c r="C40" i="2"/>
  <c r="C32" i="5" s="1"/>
  <c r="C39" i="2"/>
  <c r="C31" i="5" s="1"/>
  <c r="C38" i="2"/>
  <c r="C30" i="5" s="1"/>
  <c r="C37" i="2"/>
  <c r="C29" i="5" s="1"/>
  <c r="C36" i="2"/>
  <c r="C28" i="5" s="1"/>
  <c r="C35" i="2"/>
  <c r="C27" i="5" s="1"/>
  <c r="C34" i="2"/>
  <c r="C26" i="5" s="1"/>
  <c r="C33" i="2"/>
  <c r="C25" i="5" s="1"/>
  <c r="C32" i="2"/>
  <c r="C24" i="5" s="1"/>
  <c r="C31" i="2"/>
  <c r="C23" i="5" s="1"/>
  <c r="C30" i="2"/>
  <c r="C22" i="5" s="1"/>
  <c r="C29" i="2"/>
  <c r="C21" i="5" s="1"/>
  <c r="C28" i="2"/>
  <c r="C20" i="5" s="1"/>
  <c r="C27" i="2"/>
  <c r="C19" i="5" s="1"/>
  <c r="C26" i="2"/>
  <c r="C18" i="5" s="1"/>
  <c r="C25" i="2"/>
  <c r="C17" i="5" s="1"/>
  <c r="C24" i="2"/>
  <c r="C16" i="5" s="1"/>
  <c r="C23" i="2"/>
  <c r="C15" i="5" s="1"/>
  <c r="F15" i="5"/>
  <c r="L23" i="2"/>
  <c r="G15" i="5" s="1"/>
  <c r="H15" i="5" s="1"/>
  <c r="F16" i="5"/>
  <c r="L24" i="2"/>
  <c r="G16" i="5" s="1"/>
  <c r="C14" i="6" s="1"/>
  <c r="E14" i="6" s="1"/>
  <c r="F17" i="5"/>
  <c r="L25" i="2"/>
  <c r="G17" i="5" s="1"/>
  <c r="C15" i="6" s="1"/>
  <c r="E15" i="6" s="1"/>
  <c r="F18" i="5"/>
  <c r="L26" i="2"/>
  <c r="G18" i="5" s="1"/>
  <c r="C16" i="6" s="1"/>
  <c r="E16" i="6" s="1"/>
  <c r="F19" i="5"/>
  <c r="L27" i="2"/>
  <c r="G19" i="5" s="1"/>
  <c r="C17" i="6" s="1"/>
  <c r="E17" i="6" s="1"/>
  <c r="F20" i="5"/>
  <c r="L28" i="2"/>
  <c r="G20" i="5" s="1"/>
  <c r="C18" i="6" s="1"/>
  <c r="E18" i="6" s="1"/>
  <c r="F21" i="5"/>
  <c r="L29" i="2"/>
  <c r="G21" i="5" s="1"/>
  <c r="C19" i="6" s="1"/>
  <c r="E19" i="6" s="1"/>
  <c r="F22" i="5"/>
  <c r="L30" i="2"/>
  <c r="G22" i="5" s="1"/>
  <c r="C20" i="6" s="1"/>
  <c r="E20" i="6" s="1"/>
  <c r="F23" i="5"/>
  <c r="L31" i="2"/>
  <c r="G23" i="5" s="1"/>
  <c r="C21" i="6" s="1"/>
  <c r="E21" i="6" s="1"/>
  <c r="F24" i="5"/>
  <c r="L32" i="2"/>
  <c r="G24" i="5" s="1"/>
  <c r="F25" i="5"/>
  <c r="L33" i="2"/>
  <c r="G25" i="5" s="1"/>
  <c r="F26" i="5"/>
  <c r="L34" i="2"/>
  <c r="G26" i="5" s="1"/>
  <c r="F27" i="5"/>
  <c r="L35" i="2"/>
  <c r="G27" i="5" s="1"/>
  <c r="F28" i="5"/>
  <c r="L36" i="2"/>
  <c r="G28" i="5" s="1"/>
  <c r="F29" i="5"/>
  <c r="L37" i="2"/>
  <c r="G29" i="5" s="1"/>
  <c r="F30" i="5"/>
  <c r="L38" i="2"/>
  <c r="G30" i="5" s="1"/>
  <c r="F31" i="5"/>
  <c r="L39" i="2"/>
  <c r="G31" i="5" s="1"/>
  <c r="F32" i="5"/>
  <c r="L40" i="2"/>
  <c r="G32" i="5" s="1"/>
  <c r="F33" i="5"/>
  <c r="L41" i="2"/>
  <c r="G33" i="5" s="1"/>
  <c r="F34" i="5"/>
  <c r="L42" i="2"/>
  <c r="G34" i="5" s="1"/>
  <c r="F35" i="5"/>
  <c r="L43" i="2"/>
  <c r="G35" i="5" s="1"/>
  <c r="F36" i="5"/>
  <c r="L44" i="2"/>
  <c r="G36" i="5" s="1"/>
  <c r="F37" i="5"/>
  <c r="L45" i="2"/>
  <c r="G37" i="5" s="1"/>
  <c r="F38" i="5"/>
  <c r="L46" i="2"/>
  <c r="G38" i="5" s="1"/>
  <c r="F39" i="5"/>
  <c r="L47" i="2"/>
  <c r="G39" i="5" s="1"/>
  <c r="F40" i="5"/>
  <c r="L48" i="2"/>
  <c r="G40" i="5" s="1"/>
  <c r="D109" i="8"/>
  <c r="B149" i="6"/>
  <c r="C149" i="6" s="1"/>
  <c r="E109" i="8"/>
  <c r="B150" i="6"/>
  <c r="C150" i="6" s="1"/>
  <c r="F109" i="8"/>
  <c r="B151" i="6"/>
  <c r="C151" i="6" s="1"/>
  <c r="G109" i="8"/>
  <c r="B152" i="6"/>
  <c r="C152" i="6" s="1"/>
  <c r="H109" i="8"/>
  <c r="B153" i="6"/>
  <c r="C153" i="6" s="1"/>
  <c r="I109" i="8"/>
  <c r="B154" i="6"/>
  <c r="C154" i="6" s="1"/>
  <c r="J109" i="8"/>
  <c r="B155" i="6"/>
  <c r="C155" i="6" s="1"/>
  <c r="K109" i="8"/>
  <c r="B156" i="6"/>
  <c r="C156" i="6" s="1"/>
  <c r="H170" i="8"/>
  <c r="E170" i="8"/>
  <c r="D174" i="8"/>
  <c r="F68" i="4"/>
  <c r="K22" i="5"/>
  <c r="T68" i="4"/>
  <c r="K23" i="5"/>
  <c r="V68" i="4"/>
  <c r="B43" i="5"/>
  <c r="R15" i="5"/>
  <c r="B6" i="6"/>
  <c r="B46" i="5"/>
  <c r="B5" i="6"/>
  <c r="B8" i="6" s="1"/>
  <c r="B9" i="6" s="1"/>
  <c r="I40" i="5"/>
  <c r="E40" i="5"/>
  <c r="I39" i="5"/>
  <c r="E39" i="5"/>
  <c r="I38" i="5"/>
  <c r="E38" i="5"/>
  <c r="I37" i="5"/>
  <c r="E37" i="5"/>
  <c r="I36" i="5"/>
  <c r="E36" i="5"/>
  <c r="I35" i="5"/>
  <c r="E35" i="5"/>
  <c r="I34" i="5"/>
  <c r="E34" i="5"/>
  <c r="I33" i="5"/>
  <c r="E33" i="5"/>
  <c r="I32" i="5"/>
  <c r="E32" i="5"/>
  <c r="I31" i="5"/>
  <c r="E31" i="5"/>
  <c r="I30" i="5"/>
  <c r="E30" i="5"/>
  <c r="I29" i="5"/>
  <c r="E29" i="5"/>
  <c r="I28" i="5"/>
  <c r="E28" i="5"/>
  <c r="I27" i="5"/>
  <c r="E27" i="5"/>
  <c r="I26" i="5"/>
  <c r="E26" i="5"/>
  <c r="I25" i="5"/>
  <c r="E25" i="5"/>
  <c r="I24" i="5"/>
  <c r="E24" i="5"/>
  <c r="I23" i="5"/>
  <c r="E23" i="5"/>
  <c r="I22" i="5"/>
  <c r="E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J15" i="5" s="1"/>
  <c r="E15" i="5"/>
  <c r="B11" i="8"/>
  <c r="B6" i="7"/>
  <c r="N15" i="5"/>
  <c r="H11" i="8" s="1"/>
  <c r="I11" i="8"/>
  <c r="G6" i="7"/>
  <c r="G11" i="8"/>
  <c r="F6" i="7"/>
  <c r="B41" i="8"/>
  <c r="B12" i="8"/>
  <c r="B7" i="7"/>
  <c r="B14" i="6"/>
  <c r="B89" i="6" s="1"/>
  <c r="N16" i="5"/>
  <c r="H12" i="8" s="1"/>
  <c r="C12" i="8"/>
  <c r="E7" i="7"/>
  <c r="G12" i="8"/>
  <c r="F7" i="7"/>
  <c r="B42" i="8"/>
  <c r="B13" i="8"/>
  <c r="B8" i="7"/>
  <c r="B15" i="6"/>
  <c r="N17" i="5"/>
  <c r="H13" i="8" s="1"/>
  <c r="C13" i="8"/>
  <c r="E8" i="7"/>
  <c r="G13" i="8"/>
  <c r="F8" i="7"/>
  <c r="B43" i="8"/>
  <c r="B14" i="8"/>
  <c r="B9" i="7"/>
  <c r="B16" i="6"/>
  <c r="N18" i="5"/>
  <c r="H14" i="8" s="1"/>
  <c r="C14" i="8"/>
  <c r="E9" i="7"/>
  <c r="G14" i="8"/>
  <c r="F9" i="7"/>
  <c r="B44" i="8"/>
  <c r="B15" i="8"/>
  <c r="B10" i="7"/>
  <c r="B17" i="6"/>
  <c r="N19" i="5"/>
  <c r="H15" i="8" s="1"/>
  <c r="C15" i="8"/>
  <c r="E10" i="7"/>
  <c r="G15" i="8"/>
  <c r="F10" i="7"/>
  <c r="B45" i="8"/>
  <c r="B16" i="8"/>
  <c r="B11" i="7"/>
  <c r="B18" i="6"/>
  <c r="N20" i="5"/>
  <c r="H16" i="8" s="1"/>
  <c r="C16" i="8"/>
  <c r="E11" i="7"/>
  <c r="G16" i="8"/>
  <c r="F11" i="7"/>
  <c r="B46" i="8"/>
  <c r="B17" i="8"/>
  <c r="B12" i="7"/>
  <c r="B19" i="6"/>
  <c r="N21" i="5"/>
  <c r="H17" i="8" s="1"/>
  <c r="C17" i="8"/>
  <c r="E12" i="7"/>
  <c r="G17" i="8"/>
  <c r="F12" i="7"/>
  <c r="B47" i="8"/>
  <c r="B18" i="8"/>
  <c r="B13" i="7"/>
  <c r="B20" i="6"/>
  <c r="N22" i="5"/>
  <c r="H18" i="8" s="1"/>
  <c r="C18" i="8"/>
  <c r="E13" i="7"/>
  <c r="G18" i="8"/>
  <c r="F13" i="7"/>
  <c r="B48" i="8"/>
  <c r="B19" i="8"/>
  <c r="B14" i="7"/>
  <c r="B21" i="6"/>
  <c r="N23" i="5"/>
  <c r="H19" i="8" s="1"/>
  <c r="C19" i="8"/>
  <c r="E14" i="7"/>
  <c r="G19" i="8"/>
  <c r="F14" i="7"/>
  <c r="B20" i="8"/>
  <c r="B15" i="7"/>
  <c r="N24" i="5"/>
  <c r="H20" i="8" s="1"/>
  <c r="C20" i="8"/>
  <c r="E15" i="7"/>
  <c r="I20" i="8"/>
  <c r="G15" i="7"/>
  <c r="G20" i="8"/>
  <c r="F15" i="7"/>
  <c r="B21" i="8"/>
  <c r="B16" i="7"/>
  <c r="N25" i="5"/>
  <c r="H21" i="8" s="1"/>
  <c r="C21" i="8"/>
  <c r="E16" i="7"/>
  <c r="I21" i="8"/>
  <c r="G16" i="7"/>
  <c r="G21" i="8"/>
  <c r="F16" i="7"/>
  <c r="B22" i="8"/>
  <c r="B17" i="7"/>
  <c r="N26" i="5"/>
  <c r="H22" i="8" s="1"/>
  <c r="C22" i="8"/>
  <c r="E17" i="7"/>
  <c r="I22" i="8"/>
  <c r="G17" i="7"/>
  <c r="G22" i="8"/>
  <c r="F17" i="7"/>
  <c r="B23" i="8"/>
  <c r="B18" i="7"/>
  <c r="N27" i="5"/>
  <c r="H23" i="8" s="1"/>
  <c r="C23" i="8"/>
  <c r="E18" i="7"/>
  <c r="I23" i="8"/>
  <c r="G18" i="7"/>
  <c r="G23" i="8"/>
  <c r="F18" i="7"/>
  <c r="B24" i="8"/>
  <c r="B19" i="7"/>
  <c r="N28" i="5"/>
  <c r="H24" i="8" s="1"/>
  <c r="C24" i="8"/>
  <c r="E19" i="7"/>
  <c r="I24" i="8"/>
  <c r="G19" i="7"/>
  <c r="G24" i="8"/>
  <c r="F19" i="7"/>
  <c r="B25" i="8"/>
  <c r="B20" i="7"/>
  <c r="N29" i="5"/>
  <c r="H25" i="8" s="1"/>
  <c r="C25" i="8"/>
  <c r="E20" i="7"/>
  <c r="I25" i="8"/>
  <c r="G20" i="7"/>
  <c r="G25" i="8"/>
  <c r="F20" i="7"/>
  <c r="B26" i="8"/>
  <c r="B21" i="7"/>
  <c r="N30" i="5"/>
  <c r="H26" i="8" s="1"/>
  <c r="C26" i="8"/>
  <c r="E21" i="7"/>
  <c r="I26" i="8"/>
  <c r="G21" i="7"/>
  <c r="G26" i="8"/>
  <c r="F21" i="7"/>
  <c r="B27" i="8"/>
  <c r="B22" i="7"/>
  <c r="N31" i="5"/>
  <c r="H27" i="8" s="1"/>
  <c r="C27" i="8"/>
  <c r="E22" i="7"/>
  <c r="I27" i="8"/>
  <c r="G22" i="7"/>
  <c r="G27" i="8"/>
  <c r="F22" i="7"/>
  <c r="B28" i="8"/>
  <c r="B23" i="7"/>
  <c r="N32" i="5"/>
  <c r="H28" i="8" s="1"/>
  <c r="C28" i="8"/>
  <c r="E23" i="7"/>
  <c r="I28" i="8"/>
  <c r="G23" i="7"/>
  <c r="G28" i="8"/>
  <c r="F23" i="7"/>
  <c r="B29" i="8"/>
  <c r="B24" i="7"/>
  <c r="N33" i="5"/>
  <c r="H29" i="8" s="1"/>
  <c r="C29" i="8"/>
  <c r="E24" i="7"/>
  <c r="I29" i="8"/>
  <c r="G24" i="7"/>
  <c r="G29" i="8"/>
  <c r="F24" i="7"/>
  <c r="B30" i="8"/>
  <c r="B25" i="7"/>
  <c r="N34" i="5"/>
  <c r="H30" i="8" s="1"/>
  <c r="C30" i="8"/>
  <c r="E25" i="7"/>
  <c r="I30" i="8"/>
  <c r="G25" i="7"/>
  <c r="G30" i="8"/>
  <c r="F25" i="7"/>
  <c r="B31" i="8"/>
  <c r="B26" i="7"/>
  <c r="N35" i="5"/>
  <c r="H31" i="8" s="1"/>
  <c r="C31" i="8"/>
  <c r="E26" i="7"/>
  <c r="I31" i="8"/>
  <c r="G26" i="7"/>
  <c r="G31" i="8"/>
  <c r="F26" i="7"/>
  <c r="B32" i="8"/>
  <c r="B27" i="7"/>
  <c r="N36" i="5"/>
  <c r="H32" i="8" s="1"/>
  <c r="C32" i="8"/>
  <c r="E27" i="7"/>
  <c r="I32" i="8"/>
  <c r="G27" i="7"/>
  <c r="G32" i="8"/>
  <c r="F27" i="7"/>
  <c r="B33" i="8"/>
  <c r="B28" i="7"/>
  <c r="N37" i="5"/>
  <c r="H33" i="8" s="1"/>
  <c r="C33" i="8"/>
  <c r="E28" i="7"/>
  <c r="I33" i="8"/>
  <c r="G28" i="7"/>
  <c r="G33" i="8"/>
  <c r="F28" i="7"/>
  <c r="B34" i="8"/>
  <c r="B29" i="7"/>
  <c r="N38" i="5"/>
  <c r="H34" i="8" s="1"/>
  <c r="C34" i="8"/>
  <c r="E29" i="7"/>
  <c r="I34" i="8"/>
  <c r="G29" i="7"/>
  <c r="G34" i="8"/>
  <c r="F29" i="7"/>
  <c r="B35" i="8"/>
  <c r="B30" i="7"/>
  <c r="N39" i="5"/>
  <c r="H35" i="8" s="1"/>
  <c r="C35" i="8"/>
  <c r="E30" i="7"/>
  <c r="I35" i="8"/>
  <c r="G30" i="7"/>
  <c r="G35" i="8"/>
  <c r="F30" i="7"/>
  <c r="B36" i="8"/>
  <c r="B31" i="7"/>
  <c r="N40" i="5"/>
  <c r="H36" i="8" s="1"/>
  <c r="C36" i="8"/>
  <c r="E31" i="7"/>
  <c r="I36" i="8"/>
  <c r="G31" i="7"/>
  <c r="G36" i="8"/>
  <c r="F31" i="7"/>
  <c r="I78" i="6"/>
  <c r="K94" i="6"/>
  <c r="K95" i="6"/>
  <c r="K96" i="6"/>
  <c r="K97" i="6"/>
  <c r="K98" i="6"/>
  <c r="K99" i="6"/>
  <c r="I99" i="6"/>
  <c r="J99" i="6" s="1"/>
  <c r="K100" i="6"/>
  <c r="I100" i="6"/>
  <c r="J100" i="6" s="1"/>
  <c r="K101" i="6"/>
  <c r="I101" i="6"/>
  <c r="J101" i="6" s="1"/>
  <c r="K102" i="6"/>
  <c r="I102" i="6"/>
  <c r="J102" i="6" s="1"/>
  <c r="K103" i="6"/>
  <c r="K104" i="6"/>
  <c r="I104" i="6"/>
  <c r="J104" i="6" s="1"/>
  <c r="K105" i="6"/>
  <c r="I105" i="6"/>
  <c r="J105" i="6" s="1"/>
  <c r="K106" i="6"/>
  <c r="I106" i="6"/>
  <c r="J106" i="6" s="1"/>
  <c r="K107" i="6"/>
  <c r="I107" i="6"/>
  <c r="J107" i="6" s="1"/>
  <c r="K108" i="6"/>
  <c r="I108" i="6"/>
  <c r="J108" i="6" s="1"/>
  <c r="K109" i="6"/>
  <c r="I109" i="6"/>
  <c r="J109" i="6" s="1"/>
  <c r="K110" i="6"/>
  <c r="I110" i="6"/>
  <c r="J110" i="6" s="1"/>
  <c r="K111" i="6"/>
  <c r="I111" i="6"/>
  <c r="J111" i="6" s="1"/>
  <c r="K112" i="6"/>
  <c r="I112" i="6"/>
  <c r="J112" i="6" s="1"/>
  <c r="K113" i="6"/>
  <c r="I113" i="6"/>
  <c r="J113" i="6" s="1"/>
  <c r="K114" i="6"/>
  <c r="I114" i="6"/>
  <c r="J114" i="6" s="1"/>
  <c r="K115" i="6"/>
  <c r="I115" i="6"/>
  <c r="J115" i="6" s="1"/>
  <c r="K116" i="6"/>
  <c r="I116" i="6"/>
  <c r="J116" i="6" s="1"/>
  <c r="K117" i="6"/>
  <c r="I117" i="6"/>
  <c r="J117" i="6" s="1"/>
  <c r="K118" i="6"/>
  <c r="I118" i="6"/>
  <c r="J118" i="6" s="1"/>
  <c r="K119" i="6"/>
  <c r="I119" i="6"/>
  <c r="J119" i="6" s="1"/>
  <c r="K120" i="6"/>
  <c r="I120" i="6"/>
  <c r="J120" i="6" s="1"/>
  <c r="K121" i="6"/>
  <c r="I121" i="6"/>
  <c r="J121" i="6" s="1"/>
  <c r="K122" i="6"/>
  <c r="I122" i="6"/>
  <c r="J122" i="6" s="1"/>
  <c r="K123" i="6"/>
  <c r="I123" i="6"/>
  <c r="J123" i="6" s="1"/>
  <c r="K124" i="6"/>
  <c r="I124" i="6"/>
  <c r="J124" i="6" s="1"/>
  <c r="K125" i="6"/>
  <c r="I125" i="6"/>
  <c r="J125" i="6" s="1"/>
  <c r="K126" i="6"/>
  <c r="I126" i="6"/>
  <c r="J126" i="6" s="1"/>
  <c r="K127" i="6"/>
  <c r="I127" i="6"/>
  <c r="J127" i="6" s="1"/>
  <c r="K128" i="6"/>
  <c r="I128" i="6"/>
  <c r="J128" i="6" s="1"/>
  <c r="K129" i="6"/>
  <c r="I129" i="6"/>
  <c r="J129" i="6" s="1"/>
  <c r="K130" i="6"/>
  <c r="I130" i="6"/>
  <c r="J130" i="6" s="1"/>
  <c r="K131" i="6"/>
  <c r="I131" i="6"/>
  <c r="J131" i="6" s="1"/>
  <c r="K132" i="6"/>
  <c r="I132" i="6"/>
  <c r="J132" i="6" s="1"/>
  <c r="K133" i="6"/>
  <c r="I133" i="6"/>
  <c r="J133" i="6" s="1"/>
  <c r="K134" i="6"/>
  <c r="I134" i="6"/>
  <c r="J134" i="6" s="1"/>
  <c r="K135" i="6"/>
  <c r="I135" i="6"/>
  <c r="J135" i="6" s="1"/>
  <c r="K136" i="6"/>
  <c r="I136" i="6"/>
  <c r="J136" i="6" s="1"/>
  <c r="K137" i="6"/>
  <c r="I137" i="6"/>
  <c r="J137" i="6" s="1"/>
  <c r="K138" i="6"/>
  <c r="I138" i="6"/>
  <c r="J138" i="6" s="1"/>
  <c r="K139" i="6"/>
  <c r="I139" i="6"/>
  <c r="J139" i="6" s="1"/>
  <c r="K140" i="6"/>
  <c r="I140" i="6"/>
  <c r="J140" i="6" s="1"/>
  <c r="K141" i="6"/>
  <c r="I141" i="6"/>
  <c r="J141" i="6" s="1"/>
  <c r="K142" i="6"/>
  <c r="I142" i="6"/>
  <c r="J142" i="6" s="1"/>
  <c r="K143" i="6"/>
  <c r="I143" i="6"/>
  <c r="J143" i="6" s="1"/>
  <c r="K144" i="6"/>
  <c r="I144" i="6"/>
  <c r="J144" i="6" s="1"/>
  <c r="K145" i="6"/>
  <c r="I145" i="6"/>
  <c r="J145" i="6" s="1"/>
  <c r="E11" i="8" l="1"/>
  <c r="C6" i="7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D48" i="8" s="1"/>
  <c r="Q22" i="5"/>
  <c r="D47" i="8" s="1"/>
  <c r="Q21" i="5"/>
  <c r="D46" i="8" s="1"/>
  <c r="Q20" i="5"/>
  <c r="D45" i="8" s="1"/>
  <c r="Q19" i="5"/>
  <c r="D44" i="8" s="1"/>
  <c r="Q18" i="5"/>
  <c r="D43" i="8" s="1"/>
  <c r="Q17" i="5"/>
  <c r="D42" i="8" s="1"/>
  <c r="Q16" i="5"/>
  <c r="D41" i="8" s="1"/>
  <c r="Q15" i="5"/>
  <c r="P15" i="5"/>
  <c r="O15" i="5"/>
  <c r="F11" i="8" s="1"/>
  <c r="D11" i="8"/>
  <c r="D6" i="7"/>
  <c r="E12" i="8"/>
  <c r="C7" i="7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E13" i="8"/>
  <c r="C8" i="7"/>
  <c r="E14" i="8"/>
  <c r="C9" i="7"/>
  <c r="E15" i="8"/>
  <c r="C10" i="7"/>
  <c r="E16" i="8"/>
  <c r="C11" i="7"/>
  <c r="E17" i="8"/>
  <c r="C12" i="7"/>
  <c r="E18" i="8"/>
  <c r="C13" i="7"/>
  <c r="E19" i="8"/>
  <c r="C14" i="7"/>
  <c r="E20" i="8"/>
  <c r="C15" i="7"/>
  <c r="E21" i="8"/>
  <c r="C16" i="7"/>
  <c r="E22" i="8"/>
  <c r="C17" i="7"/>
  <c r="E23" i="8"/>
  <c r="C18" i="7"/>
  <c r="E24" i="8"/>
  <c r="C19" i="7"/>
  <c r="E25" i="8"/>
  <c r="C20" i="7"/>
  <c r="E26" i="8"/>
  <c r="C21" i="7"/>
  <c r="E27" i="8"/>
  <c r="C22" i="7"/>
  <c r="E28" i="8"/>
  <c r="C23" i="7"/>
  <c r="E29" i="8"/>
  <c r="C24" i="7"/>
  <c r="E30" i="8"/>
  <c r="C25" i="7"/>
  <c r="E31" i="8"/>
  <c r="C26" i="7"/>
  <c r="E32" i="8"/>
  <c r="C27" i="7"/>
  <c r="E33" i="8"/>
  <c r="C28" i="7"/>
  <c r="E34" i="8"/>
  <c r="C29" i="7"/>
  <c r="E35" i="8"/>
  <c r="C30" i="7"/>
  <c r="E36" i="8"/>
  <c r="C31" i="7"/>
  <c r="C11" i="8"/>
  <c r="E6" i="7"/>
  <c r="D21" i="6"/>
  <c r="L23" i="5"/>
  <c r="D20" i="6"/>
  <c r="L22" i="5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78" i="6" s="1"/>
  <c r="E22" i="6"/>
  <c r="H16" i="5"/>
  <c r="H17" i="5" l="1"/>
  <c r="O16" i="5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F47" i="8"/>
  <c r="I18" i="8"/>
  <c r="G13" i="7"/>
  <c r="F48" i="8"/>
  <c r="I19" i="8"/>
  <c r="G14" i="7"/>
  <c r="D12" i="8"/>
  <c r="D7" i="7"/>
  <c r="P16" i="5"/>
  <c r="C41" i="8" s="1"/>
  <c r="D13" i="8"/>
  <c r="D8" i="7"/>
  <c r="P17" i="5"/>
  <c r="C42" i="8" s="1"/>
  <c r="D14" i="8"/>
  <c r="D9" i="7"/>
  <c r="P18" i="5"/>
  <c r="C43" i="8" s="1"/>
  <c r="D15" i="8"/>
  <c r="D10" i="7"/>
  <c r="P19" i="5"/>
  <c r="C44" i="8" s="1"/>
  <c r="D16" i="8"/>
  <c r="D11" i="7"/>
  <c r="P20" i="5"/>
  <c r="C45" i="8" s="1"/>
  <c r="D17" i="8"/>
  <c r="D12" i="7"/>
  <c r="P21" i="5"/>
  <c r="C46" i="8" s="1"/>
  <c r="D18" i="8"/>
  <c r="D13" i="7"/>
  <c r="P22" i="5"/>
  <c r="C47" i="8" s="1"/>
  <c r="D19" i="8"/>
  <c r="D14" i="7"/>
  <c r="P23" i="5"/>
  <c r="C48" i="8" s="1"/>
  <c r="D20" i="8"/>
  <c r="D15" i="7"/>
  <c r="P24" i="5"/>
  <c r="D21" i="8"/>
  <c r="D16" i="7"/>
  <c r="P25" i="5"/>
  <c r="D22" i="8"/>
  <c r="D17" i="7"/>
  <c r="P26" i="5"/>
  <c r="D23" i="8"/>
  <c r="D18" i="7"/>
  <c r="P27" i="5"/>
  <c r="D24" i="8"/>
  <c r="D19" i="7"/>
  <c r="P28" i="5"/>
  <c r="D25" i="8"/>
  <c r="D20" i="7"/>
  <c r="P29" i="5"/>
  <c r="D26" i="8"/>
  <c r="D21" i="7"/>
  <c r="P30" i="5"/>
  <c r="D27" i="8"/>
  <c r="D22" i="7"/>
  <c r="P31" i="5"/>
  <c r="D28" i="8"/>
  <c r="D23" i="7"/>
  <c r="P32" i="5"/>
  <c r="D29" i="8"/>
  <c r="D24" i="7"/>
  <c r="P33" i="5"/>
  <c r="D30" i="8"/>
  <c r="D25" i="7"/>
  <c r="P34" i="5"/>
  <c r="D31" i="8"/>
  <c r="D26" i="7"/>
  <c r="P35" i="5"/>
  <c r="D32" i="8"/>
  <c r="D27" i="7"/>
  <c r="P36" i="5"/>
  <c r="D33" i="8"/>
  <c r="D28" i="7"/>
  <c r="P37" i="5"/>
  <c r="D34" i="8"/>
  <c r="D29" i="7"/>
  <c r="P38" i="5"/>
  <c r="D35" i="8"/>
  <c r="D30" i="7"/>
  <c r="P39" i="5"/>
  <c r="D36" i="8"/>
  <c r="D31" i="7"/>
  <c r="P40" i="5"/>
  <c r="G78" i="6" l="1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E41" i="8"/>
  <c r="F12" i="8"/>
  <c r="H18" i="5"/>
  <c r="O17" i="5"/>
  <c r="E42" i="8" l="1"/>
  <c r="F13" i="8"/>
  <c r="H19" i="5"/>
  <c r="O18" i="5"/>
  <c r="H78" i="6"/>
  <c r="K26" i="6"/>
  <c r="J26" i="6"/>
  <c r="K27" i="6"/>
  <c r="J27" i="6"/>
  <c r="K28" i="6"/>
  <c r="J28" i="6"/>
  <c r="K29" i="6"/>
  <c r="J29" i="6"/>
  <c r="K30" i="6"/>
  <c r="J30" i="6"/>
  <c r="K31" i="6"/>
  <c r="J31" i="6"/>
  <c r="K32" i="6"/>
  <c r="J32" i="6"/>
  <c r="K33" i="6"/>
  <c r="J33" i="6"/>
  <c r="K34" i="6"/>
  <c r="J34" i="6"/>
  <c r="K35" i="6"/>
  <c r="J35" i="6"/>
  <c r="K36" i="6"/>
  <c r="J36" i="6"/>
  <c r="K37" i="6"/>
  <c r="J37" i="6"/>
  <c r="K38" i="6"/>
  <c r="J38" i="6"/>
  <c r="K39" i="6"/>
  <c r="J39" i="6"/>
  <c r="K40" i="6"/>
  <c r="J40" i="6"/>
  <c r="K41" i="6"/>
  <c r="J41" i="6"/>
  <c r="K42" i="6"/>
  <c r="J42" i="6"/>
  <c r="K43" i="6"/>
  <c r="J43" i="6"/>
  <c r="K44" i="6"/>
  <c r="J44" i="6"/>
  <c r="K45" i="6"/>
  <c r="J45" i="6"/>
  <c r="K46" i="6"/>
  <c r="J46" i="6"/>
  <c r="K47" i="6"/>
  <c r="J47" i="6"/>
  <c r="K48" i="6"/>
  <c r="J48" i="6"/>
  <c r="K49" i="6"/>
  <c r="J49" i="6"/>
  <c r="K50" i="6"/>
  <c r="J50" i="6"/>
  <c r="K51" i="6"/>
  <c r="J51" i="6"/>
  <c r="K52" i="6"/>
  <c r="J52" i="6"/>
  <c r="K53" i="6"/>
  <c r="J53" i="6"/>
  <c r="K54" i="6"/>
  <c r="J54" i="6"/>
  <c r="K55" i="6"/>
  <c r="J55" i="6"/>
  <c r="K56" i="6"/>
  <c r="J56" i="6"/>
  <c r="K57" i="6"/>
  <c r="J57" i="6"/>
  <c r="K58" i="6"/>
  <c r="J58" i="6"/>
  <c r="K59" i="6"/>
  <c r="J59" i="6"/>
  <c r="K60" i="6"/>
  <c r="J60" i="6"/>
  <c r="K61" i="6"/>
  <c r="J61" i="6"/>
  <c r="K62" i="6"/>
  <c r="J62" i="6"/>
  <c r="K63" i="6"/>
  <c r="J63" i="6"/>
  <c r="K64" i="6"/>
  <c r="J64" i="6"/>
  <c r="K65" i="6"/>
  <c r="J65" i="6"/>
  <c r="K66" i="6"/>
  <c r="J66" i="6"/>
  <c r="K67" i="6"/>
  <c r="J67" i="6"/>
  <c r="K68" i="6"/>
  <c r="J68" i="6"/>
  <c r="K69" i="6"/>
  <c r="J69" i="6"/>
  <c r="K70" i="6"/>
  <c r="J70" i="6"/>
  <c r="K71" i="6"/>
  <c r="J71" i="6"/>
  <c r="K72" i="6"/>
  <c r="J72" i="6"/>
  <c r="K73" i="6"/>
  <c r="J73" i="6"/>
  <c r="K74" i="6"/>
  <c r="J74" i="6"/>
  <c r="K75" i="6"/>
  <c r="J75" i="6"/>
  <c r="K76" i="6"/>
  <c r="J76" i="6"/>
  <c r="K77" i="6"/>
  <c r="J77" i="6"/>
  <c r="B81" i="6" l="1"/>
  <c r="B84" i="6"/>
  <c r="B83" i="6"/>
  <c r="B82" i="6"/>
  <c r="E43" i="8"/>
  <c r="F14" i="8"/>
  <c r="H20" i="5"/>
  <c r="O19" i="5"/>
  <c r="E44" i="8" l="1"/>
  <c r="F15" i="8"/>
  <c r="H21" i="5"/>
  <c r="O20" i="5"/>
  <c r="B85" i="6"/>
  <c r="E45" i="8" l="1"/>
  <c r="F16" i="8"/>
  <c r="H22" i="5"/>
  <c r="O21" i="5"/>
  <c r="E46" i="8" l="1"/>
  <c r="F17" i="8"/>
  <c r="H23" i="5"/>
  <c r="O22" i="5"/>
  <c r="E47" i="8" l="1"/>
  <c r="F18" i="8"/>
  <c r="H24" i="5"/>
  <c r="O23" i="5"/>
  <c r="E48" i="8" l="1"/>
  <c r="F19" i="8"/>
  <c r="H25" i="5"/>
  <c r="O24" i="5"/>
  <c r="F20" i="8" s="1"/>
  <c r="H26" i="5" l="1"/>
  <c r="O25" i="5"/>
  <c r="F21" i="8" s="1"/>
  <c r="H27" i="5" l="1"/>
  <c r="O26" i="5"/>
  <c r="F22" i="8" s="1"/>
  <c r="H28" i="5" l="1"/>
  <c r="O27" i="5"/>
  <c r="F23" i="8" s="1"/>
  <c r="H29" i="5" l="1"/>
  <c r="O28" i="5"/>
  <c r="F24" i="8" s="1"/>
  <c r="H30" i="5" l="1"/>
  <c r="O29" i="5"/>
  <c r="F25" i="8" s="1"/>
  <c r="H31" i="5" l="1"/>
  <c r="O30" i="5"/>
  <c r="F26" i="8" s="1"/>
  <c r="H32" i="5" l="1"/>
  <c r="O31" i="5"/>
  <c r="F27" i="8" s="1"/>
  <c r="H33" i="5" l="1"/>
  <c r="O32" i="5"/>
  <c r="F28" i="8" s="1"/>
  <c r="H34" i="5" l="1"/>
  <c r="O33" i="5"/>
  <c r="F29" i="8" s="1"/>
  <c r="H35" i="5" l="1"/>
  <c r="O34" i="5"/>
  <c r="F30" i="8" s="1"/>
  <c r="H36" i="5" l="1"/>
  <c r="O35" i="5"/>
  <c r="F31" i="8" s="1"/>
  <c r="H37" i="5" l="1"/>
  <c r="O36" i="5"/>
  <c r="F32" i="8" s="1"/>
  <c r="H38" i="5" l="1"/>
  <c r="O37" i="5"/>
  <c r="F33" i="8" s="1"/>
  <c r="H39" i="5" l="1"/>
  <c r="O38" i="5"/>
  <c r="F34" i="8" s="1"/>
  <c r="H40" i="5" l="1"/>
  <c r="O40" i="5" s="1"/>
  <c r="F36" i="8" s="1"/>
  <c r="O39" i="5"/>
  <c r="F35" i="8" s="1"/>
  <c r="H169" i="8"/>
  <c r="G169" i="8"/>
  <c r="E169" i="8"/>
  <c r="H168" i="8"/>
  <c r="G168" i="8"/>
  <c r="E168" i="8"/>
  <c r="H167" i="8"/>
  <c r="G167" i="8"/>
  <c r="E167" i="8"/>
  <c r="H67" i="4"/>
  <c r="M24" i="2"/>
  <c r="L16" i="5"/>
  <c r="J67" i="4"/>
  <c r="M25" i="2"/>
  <c r="L17" i="5"/>
  <c r="L67" i="4"/>
  <c r="M26" i="2"/>
  <c r="L18" i="5"/>
  <c r="N67" i="4"/>
  <c r="M27" i="2"/>
  <c r="L19" i="5"/>
  <c r="P67" i="4"/>
  <c r="M28" i="2"/>
  <c r="L20" i="5"/>
  <c r="R67" i="4"/>
  <c r="M29" i="2"/>
  <c r="L21" i="5"/>
  <c r="B44" i="5"/>
  <c r="X66" i="4"/>
  <c r="V66" i="4"/>
  <c r="T66" i="4"/>
  <c r="R66" i="4"/>
  <c r="P66" i="4"/>
  <c r="N66" i="4"/>
  <c r="L66" i="4"/>
  <c r="J66" i="4"/>
  <c r="H66" i="4"/>
  <c r="F66" i="4"/>
  <c r="D175" i="8"/>
  <c r="X65" i="4"/>
  <c r="X64" i="4"/>
  <c r="X68" i="4"/>
  <c r="H174" i="8"/>
  <c r="R64" i="4"/>
  <c r="R68" i="4"/>
  <c r="K21" i="5"/>
  <c r="D19" i="6"/>
  <c r="P64" i="4"/>
  <c r="P68" i="4"/>
  <c r="K20" i="5"/>
  <c r="D18" i="6"/>
  <c r="N64" i="4"/>
  <c r="N68" i="4"/>
  <c r="K19" i="5"/>
  <c r="D17" i="6"/>
  <c r="L64" i="4"/>
  <c r="L68" i="4"/>
  <c r="K18" i="5"/>
  <c r="D16" i="6"/>
  <c r="J64" i="4"/>
  <c r="J68" i="4"/>
  <c r="K17" i="5"/>
  <c r="D15" i="6"/>
  <c r="H64" i="4"/>
  <c r="H68" i="4"/>
  <c r="K16" i="5"/>
  <c r="D14" i="6"/>
  <c r="G12" i="7"/>
  <c r="I17" i="8"/>
  <c r="F46" i="8"/>
  <c r="G11" i="7"/>
  <c r="I16" i="8"/>
  <c r="F45" i="8"/>
  <c r="G10" i="7"/>
  <c r="I15" i="8"/>
  <c r="F44" i="8"/>
  <c r="G9" i="7"/>
  <c r="I14" i="8"/>
  <c r="F43" i="8"/>
  <c r="G8" i="7"/>
  <c r="I13" i="8"/>
  <c r="F42" i="8"/>
  <c r="G7" i="7"/>
  <c r="I12" i="8"/>
  <c r="F41" i="8"/>
  <c r="E12" i="2"/>
  <c r="B11" i="2"/>
  <c r="B10" i="2"/>
  <c r="B45" i="5"/>
  <c r="B47" i="5"/>
  <c r="B48" i="5"/>
</calcChain>
</file>

<file path=xl/sharedStrings.xml><?xml version="1.0" encoding="utf-8"?>
<sst xmlns="http://schemas.openxmlformats.org/spreadsheetml/2006/main" count="974" uniqueCount="379">
  <si>
    <t>ADRIC — DIFFERENTIAL VAPORIZATION CALCULATION (v6.2, Water Pump Method)</t>
  </si>
  <si>
    <t>Live-formula DV calc sheet. Yellow = inputs. Purple = key deliverables. All calcs link across tabs.</t>
  </si>
  <si>
    <t>BLOCK A — PROJECT &amp; SAMPLE INFORMATION</t>
  </si>
  <si>
    <t>Client</t>
  </si>
  <si>
    <t>ADNOC Onshore</t>
  </si>
  <si>
    <t>Field</t>
  </si>
  <si>
    <t>Upper Zakum</t>
  </si>
  <si>
    <t>Well</t>
  </si>
  <si>
    <t>WELL-X</t>
  </si>
  <si>
    <t>Reservoir</t>
  </si>
  <si>
    <t>Kharaib-2</t>
  </si>
  <si>
    <t>Sample ID</t>
  </si>
  <si>
    <t>SA-372</t>
  </si>
  <si>
    <t>Chamber / Cylinder No.</t>
  </si>
  <si>
    <t>RF1168636</t>
  </si>
  <si>
    <t>Sampling Depth (MD ft)</t>
  </si>
  <si>
    <t>Sampling Date</t>
  </si>
  <si>
    <t>2026-04-12</t>
  </si>
  <si>
    <t>Fluid Type</t>
  </si>
  <si>
    <t>Black Oil</t>
  </si>
  <si>
    <t>Project No.</t>
  </si>
  <si>
    <t>ADRIC-PVT-2026-014</t>
  </si>
  <si>
    <t>BLOCK B — FLUID REFERENCE DATA (from CCE, HPHT and Flash tests)</t>
  </si>
  <si>
    <t>Reservoir Pressure (psig)</t>
  </si>
  <si>
    <t>Reservoir Temperature (°F)</t>
  </si>
  <si>
    <t>Bubble Point Psat from CCE (psig)</t>
  </si>
  <si>
    <t>Density at Psat from CCE (g/cc)</t>
  </si>
  <si>
    <t>Flash GOR Rs_fb (surface separator) (scf/STB)</t>
  </si>
  <si>
    <t>Flash Bo_fb (surface separator) (rb/STB)</t>
  </si>
  <si>
    <t>Field GOR Rsi (scf/STB)</t>
  </si>
  <si>
    <t>STO API (°)</t>
  </si>
  <si>
    <t>STO Density @ 60°F (g/cc)</t>
  </si>
  <si>
    <t>STO MW (g/mol)</t>
  </si>
  <si>
    <t>BLOCK C — PREPARATION TEAM</t>
  </si>
  <si>
    <t>Analyst</t>
  </si>
  <si>
    <t>M. Athif</t>
  </si>
  <si>
    <t>Reviewer</t>
  </si>
  <si>
    <t>A. Abbas</t>
  </si>
  <si>
    <t>Approver</t>
  </si>
  <si>
    <t>M. S. Alhammadi</t>
  </si>
  <si>
    <t>Test Date</t>
  </si>
  <si>
    <t>2026-07-04</t>
  </si>
  <si>
    <t>DIFFERENTIAL VAPORIZATION — STAGE MEASUREMENTS (v6.2, Water Pump Method)</t>
  </si>
  <si>
    <t>Enter yellow measurements at each stage. Row 23 = Bubble Point (Stage 1). Depletion below Psat = gas liberation.</t>
  </si>
  <si>
    <t>BLOCK A — TEST REFERENCE (linked from Sample_Info + new inputs)</t>
  </si>
  <si>
    <t>Bubble Point Psat (psig)</t>
  </si>
  <si>
    <t>Density @ Psat (g/cc)</t>
  </si>
  <si>
    <t>Flash Rs_fb (surface, scf/STB)</t>
  </si>
  <si>
    <t>Flash Bo_fb (surface, rb/STB)</t>
  </si>
  <si>
    <t>Residual Oil Volume V_sto @ 60°F (cc)</t>
  </si>
  <si>
    <t>Bubble Point Stage No.</t>
  </si>
  <si>
    <t>🟣 Volume at Working (Reservoir) Pressure (cc)</t>
  </si>
  <si>
    <t>🟣 Volume of Oil at Psat (cc)</t>
  </si>
  <si>
    <t>STO Density from Composition (Compositions_Master X66)</t>
  </si>
  <si>
    <t>STO Density Override (manual, g/cc)</t>
  </si>
  <si>
    <t>STO MW from Composition (Compositions_Master X64)</t>
  </si>
  <si>
    <t>STO MW Override (manual, g/mol)</t>
  </si>
  <si>
    <t>🟣 Reservoir Fluid MW (Compositions_Master F64)</t>
  </si>
  <si>
    <t>🟣 Reservoir Fluid Density (Compositions_Master F66)</t>
  </si>
  <si>
    <t>BLOCK B — GASOMETER / BASE CONDITIONS (Constants)</t>
  </si>
  <si>
    <t>Barometric pressure (mbar)</t>
  </si>
  <si>
    <t>Back pressure (mbar)</t>
  </si>
  <si>
    <t>Standard pressure P_std (mbar)</t>
  </si>
  <si>
    <t>Standard temperature T_std (K)</t>
  </si>
  <si>
    <t>Air MW (g/mol)</t>
  </si>
  <si>
    <t>scf per lbmol @ std</t>
  </si>
  <si>
    <t>cc per scf</t>
  </si>
  <si>
    <t>cc per STB</t>
  </si>
  <si>
    <t>BLOCK C — STAGE MEASUREMENTS (Enter yellow inputs per stage; row 23 = Bubble Point)</t>
  </si>
  <si>
    <t>Stage #</t>
  </si>
  <si>
    <t>P (psia)</t>
  </si>
  <si>
    <t>T (°F)</t>
  </si>
  <si>
    <t>V_oil BEFORE gas removal (cc)</t>
  </si>
  <si>
    <t>V_oil AFTER gas removal (cc)</t>
  </si>
  <si>
    <t>V_gas init (cc)</t>
  </si>
  <si>
    <t>V_gas final (cc)</t>
  </si>
  <si>
    <t>V_gas_meas (cc)</t>
  </si>
  <si>
    <t>P_meas (mbar)</t>
  </si>
  <si>
    <t>T_meas (°C)</t>
  </si>
  <si>
    <t>V_gas_std (cc)</t>
  </si>
  <si>
    <t>V_gas_std (scf)</t>
  </si>
  <si>
    <t>Gas gravity (linked)</t>
  </si>
  <si>
    <t>Gas Z (input)</t>
  </si>
  <si>
    <t>Oil viscosity (cP, opt)</t>
  </si>
  <si>
    <t>Notes</t>
  </si>
  <si>
    <t>Bubble Point</t>
  </si>
  <si>
    <t>COMPONENT PROPERTIES — KATZ-FIROOZABADI STANDARDS (52 components to C36+)</t>
  </si>
  <si>
    <t>Reference values. All locked (grey) EXCEPT C36+ MW (D56, yellow) which varies per sample.</t>
  </si>
  <si>
    <t>#</t>
  </si>
  <si>
    <t>Code</t>
  </si>
  <si>
    <t>Name</t>
  </si>
  <si>
    <t>MW (g/mol)</t>
  </si>
  <si>
    <t>Density (g/cc)</t>
  </si>
  <si>
    <t>Tb (°R)</t>
  </si>
  <si>
    <t>Pc (psia)</t>
  </si>
  <si>
    <t>Tc (°R)</t>
  </si>
  <si>
    <t>Molar Vol (cc/gmol)</t>
  </si>
  <si>
    <t>H2</t>
  </si>
  <si>
    <t>Hydrogen</t>
  </si>
  <si>
    <t>H2S</t>
  </si>
  <si>
    <t>Hydrogen Sulfide</t>
  </si>
  <si>
    <t>CO2</t>
  </si>
  <si>
    <t>Carbon Dioxide</t>
  </si>
  <si>
    <t>N2</t>
  </si>
  <si>
    <t>Nitrogen</t>
  </si>
  <si>
    <t>C1</t>
  </si>
  <si>
    <t>Methane</t>
  </si>
  <si>
    <t>C2</t>
  </si>
  <si>
    <t>Ethane</t>
  </si>
  <si>
    <t>C3</t>
  </si>
  <si>
    <t>Propane</t>
  </si>
  <si>
    <t>iC4</t>
  </si>
  <si>
    <t>i-Butane</t>
  </si>
  <si>
    <t>nC4</t>
  </si>
  <si>
    <t>n-Butane</t>
  </si>
  <si>
    <t>NeoC5</t>
  </si>
  <si>
    <t>Neo-Pentane</t>
  </si>
  <si>
    <t>iC5</t>
  </si>
  <si>
    <t>i-Pentane</t>
  </si>
  <si>
    <t>nC5</t>
  </si>
  <si>
    <t>n-Pentane</t>
  </si>
  <si>
    <t>C6</t>
  </si>
  <si>
    <t>Hexanes</t>
  </si>
  <si>
    <t>MCP</t>
  </si>
  <si>
    <t>M-C-Pentane</t>
  </si>
  <si>
    <t>Benzene</t>
  </si>
  <si>
    <t>Cyclohex</t>
  </si>
  <si>
    <t>Cyclohexane</t>
  </si>
  <si>
    <t>C7</t>
  </si>
  <si>
    <t>Heptanes</t>
  </si>
  <si>
    <t>MCH</t>
  </si>
  <si>
    <t>M-C-Hexane</t>
  </si>
  <si>
    <t>Toluene</t>
  </si>
  <si>
    <t>C8</t>
  </si>
  <si>
    <t>Octanes</t>
  </si>
  <si>
    <t>EBenzene</t>
  </si>
  <si>
    <t>E-Benzene</t>
  </si>
  <si>
    <t>MPXylenes</t>
  </si>
  <si>
    <t>M/P-Xylenes</t>
  </si>
  <si>
    <t>OXylene</t>
  </si>
  <si>
    <t>O-Xylene</t>
  </si>
  <si>
    <t>C9</t>
  </si>
  <si>
    <t>Nonanes</t>
  </si>
  <si>
    <t>TMB124</t>
  </si>
  <si>
    <t>1,2,4-Trimethylbenzene</t>
  </si>
  <si>
    <t>C10</t>
  </si>
  <si>
    <t>Decanes</t>
  </si>
  <si>
    <t>C11</t>
  </si>
  <si>
    <t>Undecanes</t>
  </si>
  <si>
    <t>C12</t>
  </si>
  <si>
    <t>Dodecanes</t>
  </si>
  <si>
    <t>C13</t>
  </si>
  <si>
    <t>Tridecanes</t>
  </si>
  <si>
    <t>C14</t>
  </si>
  <si>
    <t>Tetradecanes</t>
  </si>
  <si>
    <t>C15</t>
  </si>
  <si>
    <t>Pentadecanes</t>
  </si>
  <si>
    <t>C16</t>
  </si>
  <si>
    <t>Hexadecanes</t>
  </si>
  <si>
    <t>C17</t>
  </si>
  <si>
    <t>Heptadecanes</t>
  </si>
  <si>
    <t>C18</t>
  </si>
  <si>
    <t>Octadecanes</t>
  </si>
  <si>
    <t>C19</t>
  </si>
  <si>
    <t>Nonadecanes</t>
  </si>
  <si>
    <t>C20</t>
  </si>
  <si>
    <t>Eicosanes</t>
  </si>
  <si>
    <t>C21</t>
  </si>
  <si>
    <t>Heneicosanes</t>
  </si>
  <si>
    <t>C22</t>
  </si>
  <si>
    <t>Docosanes</t>
  </si>
  <si>
    <t>C23</t>
  </si>
  <si>
    <t>Tricosanes</t>
  </si>
  <si>
    <t>C24</t>
  </si>
  <si>
    <t>Tetracosanes</t>
  </si>
  <si>
    <t>C25</t>
  </si>
  <si>
    <t>Pentacosanes</t>
  </si>
  <si>
    <t>C26</t>
  </si>
  <si>
    <t>Hexacosanes</t>
  </si>
  <si>
    <t>C27</t>
  </si>
  <si>
    <t>Heptacosanes</t>
  </si>
  <si>
    <t>C28</t>
  </si>
  <si>
    <t>Octacosanes</t>
  </si>
  <si>
    <t>C29</t>
  </si>
  <si>
    <t>Nonacosanes</t>
  </si>
  <si>
    <t>C30</t>
  </si>
  <si>
    <t>Triacontanes</t>
  </si>
  <si>
    <t>C31</t>
  </si>
  <si>
    <t>Hentriacontanes</t>
  </si>
  <si>
    <t>C32</t>
  </si>
  <si>
    <t>Dotriacontanes</t>
  </si>
  <si>
    <t>C33</t>
  </si>
  <si>
    <t>Tritriacontanes</t>
  </si>
  <si>
    <t>C34</t>
  </si>
  <si>
    <t>Tetratriacontanes</t>
  </si>
  <si>
    <t>C35</t>
  </si>
  <si>
    <t>Pentatriacontanes</t>
  </si>
  <si>
    <t>C36+</t>
  </si>
  <si>
    <t>Hexatriacontanes plus</t>
  </si>
  <si>
    <t>COMPOSITIONS MASTER — Reservoir | Stage 1-8 Gas (7-8 optional) | STO Residue</t>
  </si>
  <si>
    <t>Unified page. Enter Mol% AND Wt% in yellow. Stages 7-8 optional for extra samples.</t>
  </si>
  <si>
    <t>STAGE PRESSURES (linked from DV_Input) — up to 8 gas liberation stages</t>
  </si>
  <si>
    <t>Stream:</t>
  </si>
  <si>
    <t>Reservoir Fluid</t>
  </si>
  <si>
    <t>Stage 1 Gas</t>
  </si>
  <si>
    <t>Stage 2 Gas</t>
  </si>
  <si>
    <t>Stage 3 Gas</t>
  </si>
  <si>
    <t>Stage 4 Gas</t>
  </si>
  <si>
    <t>Stage 5 Gas</t>
  </si>
  <si>
    <t>Stage 6 Gas</t>
  </si>
  <si>
    <t>Stage 7 Gas (opt)</t>
  </si>
  <si>
    <t>Stage 8 Gas (opt)</t>
  </si>
  <si>
    <t>STO Residue</t>
  </si>
  <si>
    <t>Pressure (psia):</t>
  </si>
  <si>
    <t>Component</t>
  </si>
  <si>
    <t>MW (KF)</t>
  </si>
  <si>
    <t>Density (KF)</t>
  </si>
  <si>
    <t>Mol%</t>
  </si>
  <si>
    <t>Wt%</t>
  </si>
  <si>
    <t>TOTAL</t>
  </si>
  <si>
    <t>Total QC</t>
  </si>
  <si>
    <t>STREAM PROPERTIES (Auto-calculated per stream)</t>
  </si>
  <si>
    <t>MW from Mol% (g/mol)</t>
  </si>
  <si>
    <t>MW from Wt% (g/mol)</t>
  </si>
  <si>
    <t>Density mixture (g/cc)</t>
  </si>
  <si>
    <t>Gas Gravity (γ vs air)</t>
  </si>
  <si>
    <t>N/A (liquid)</t>
  </si>
  <si>
    <t>MW consistency %</t>
  </si>
  <si>
    <t>DIFFERENTIAL VAPORIZATION CALCULATIONS (per-stage Bo, Rs, Bt, Z, ρ_calc + Material Balance)</t>
  </si>
  <si>
    <t>All live formulas. Row 15 = Bubble Point Psat. Rows 16-40 = depletion stages. V_oil = after gas removal.</t>
  </si>
  <si>
    <t>BLOCK A — TEST REFERENCE (linked from Sample_Info &amp; DV_Input)</t>
  </si>
  <si>
    <t>Reservoir Temp (°F)</t>
  </si>
  <si>
    <t>Flash Rs_fb (scf/STB)</t>
  </si>
  <si>
    <t>Flash Bo_fb (rb/STB)</t>
  </si>
  <si>
    <t>V_sto @ 60°F (cc)</t>
  </si>
  <si>
    <t>BLOCK B — STAGE-BY-STAGE DV CALCULATIONS</t>
  </si>
  <si>
    <t>V_oil (cc) [after gas removal]</t>
  </si>
  <si>
    <t>Bo_d</t>
  </si>
  <si>
    <t>V_gas cc</t>
  </si>
  <si>
    <t>V_gas scf</t>
  </si>
  <si>
    <t>Cum gas scf</t>
  </si>
  <si>
    <t>ΔRs (scf/STB)</t>
  </si>
  <si>
    <t>Rs_d total</t>
  </si>
  <si>
    <t>Gas MW</t>
  </si>
  <si>
    <t>γg</t>
  </si>
  <si>
    <t>Z</t>
  </si>
  <si>
    <t>Bg (rcf/scf)</t>
  </si>
  <si>
    <t>Bt_d</t>
  </si>
  <si>
    <t>Rs surface</t>
  </si>
  <si>
    <t>Bo surface</t>
  </si>
  <si>
    <t>ρ_oil calc (MB)</t>
  </si>
  <si>
    <t>BLOCK C — MASS BALANCE SUMMARY</t>
  </si>
  <si>
    <t>Mass at Psat (g)</t>
  </si>
  <si>
    <t>Cum gas mass removed (g)</t>
  </si>
  <si>
    <t>Mass balance closure (final STO mass, g)</t>
  </si>
  <si>
    <t>Expected STO mass @ 60°F (g) = ρ_STO × V_sto</t>
  </si>
  <si>
    <t>🟣 Mass balance error (%)</t>
  </si>
  <si>
    <t>🟣 Mass balance QC status</t>
  </si>
  <si>
    <t>MATERIAL BALANCE GUIDANCE — What to adjust if MB fails</t>
  </si>
  <si>
    <t>If Mass Balance error &gt; 3%, try adjusting these inputs (in order of sensitivity):</t>
  </si>
  <si>
    <t>1. Density @ Psat (Sample_Info!E13) — MOST SENSITIVE; verify from CCE at exact Psat.</t>
  </si>
  <si>
    <t>2. Bubble Point Psat (Sample_Info!B13) — verify visual observation and Y-function from CCE.</t>
  </si>
  <si>
    <t>3. V_oil at Psat (DV_Input!E23 = row 23 col E) — measure precise volume at bubble point.</t>
  </si>
  <si>
    <t>4. V_sto residual oil volume (DV_Input!B8) — measure carefully after complete depressurization.</t>
  </si>
  <si>
    <t>5. STO MW (Sample_Info!E16) — from GC analysis of residual stock tank oil.</t>
  </si>
  <si>
    <t>6. C36+ MW (Component_Properties!D56) — from asphaltene / heavy end analysis.</t>
  </si>
  <si>
    <t>For MOLAR balance issues, check individual stage gas compositions on Compositions_Master (columns H-W).</t>
  </si>
  <si>
    <t>Watch the Hoffman-Crump and K-value plots on Material_Balance_QC tab to identify off-equilibrium components.</t>
  </si>
  <si>
    <t>MATERIAL BALANCE QC — MOLAR BALANCE + K-VALUE + HOFFMAN PLOTS</t>
  </si>
  <si>
    <t>Component-by-component balance. K = y/x. Hoffman plot for equilibrium check.</t>
  </si>
  <si>
    <t>BLOCK A — REFERENCE CONSTANTS (linked)</t>
  </si>
  <si>
    <t>V_sto (cc)</t>
  </si>
  <si>
    <t>STO Density (g/cc)</t>
  </si>
  <si>
    <t>Residual oil mass (g)</t>
  </si>
  <si>
    <t>Residual oil moles (lbmol)</t>
  </si>
  <si>
    <t>BLOCK B — STAGE GAS MOLES (up to 8 stages)</t>
  </si>
  <si>
    <t>Stage</t>
  </si>
  <si>
    <t>Gas moles (lbmol)</t>
  </si>
  <si>
    <t>Total gas moles:</t>
  </si>
  <si>
    <t>BLOCK C — COMPONENT MATERIAL BALANCE (Recombined vs Reservoir Fluid Input)</t>
  </si>
  <si>
    <t>MW</t>
  </si>
  <si>
    <t>STO Mol%</t>
  </si>
  <si>
    <t>Cum Gas Mol% (recomb)</t>
  </si>
  <si>
    <t>Total moles (lbmol)</t>
  </si>
  <si>
    <t>Recomb Mol%</t>
  </si>
  <si>
    <t>Reservoir Mol% (input)</t>
  </si>
  <si>
    <t>Dev %</t>
  </si>
  <si>
    <t>Status</t>
  </si>
  <si>
    <t>OVERALL MATERIAL BALANCE QC</t>
  </si>
  <si>
    <t>Max Dev % (any component)</t>
  </si>
  <si>
    <t>Components PASS (≤2%)</t>
  </si>
  <si>
    <t>Components REVIEW (2-3%)</t>
  </si>
  <si>
    <t>Components FAIL (&gt;3%)</t>
  </si>
  <si>
    <t>🟣 Overall MB status</t>
  </si>
  <si>
    <t>BLOCK D — K-VALUE ANALYSIS (Select Stage for Hoffman Plot)</t>
  </si>
  <si>
    <t>Select Stage for K-value analysis (1-8):</t>
  </si>
  <si>
    <t>Selected Stage Pressure (psia):</t>
  </si>
  <si>
    <t>Selected Stage T (°R) = T_res + 459.67:</t>
  </si>
  <si>
    <t>BLOCK E — COMPONENT K-VALUES (y/x) + Hoffman F Factor for Selected Stage</t>
  </si>
  <si>
    <t>y_i (gas mol%)</t>
  </si>
  <si>
    <t>x_i (STO mol%)</t>
  </si>
  <si>
    <t>K = y/x</t>
  </si>
  <si>
    <t>log10(K·P)</t>
  </si>
  <si>
    <t>Hoffman F</t>
  </si>
  <si>
    <t>BLOCK F — K-VALUE TRENDS vs PRESSURE (log-log) — Key Components</t>
  </si>
  <si>
    <t>log10(P)</t>
  </si>
  <si>
    <t>K_C1</t>
  </si>
  <si>
    <t>K_C2</t>
  </si>
  <si>
    <t>K_C3</t>
  </si>
  <si>
    <t>K_nC4</t>
  </si>
  <si>
    <t>K_iC5</t>
  </si>
  <si>
    <t>K_C6</t>
  </si>
  <si>
    <t>DV PLOTS — Bo, Rs, rho_oil (calc), Z, gamma_g vs Pressure</t>
  </si>
  <si>
    <t>5 embedded charts referencing DV_Calc data. Compare trends to identify measurement issues.</t>
  </si>
  <si>
    <t>DATA (linked from DV_Calc)</t>
  </si>
  <si>
    <t>Rs_d</t>
  </si>
  <si>
    <t>rho_oil calc (MB)</t>
  </si>
  <si>
    <t>gamma_g</t>
  </si>
  <si>
    <t>DIFFERENTIAL VAPORIZATION AT 256F — FINAL REPORT (Client Format)</t>
  </si>
  <si>
    <t>DV Data + Corrected to Surface Conditions + Full Compositional Analysis + Plus-Fraction Properties</t>
  </si>
  <si>
    <t>SAMPLE INFORMATION</t>
  </si>
  <si>
    <t>Depth (MD ft)</t>
  </si>
  <si>
    <t>Well/Field</t>
  </si>
  <si>
    <t>Chamber No.</t>
  </si>
  <si>
    <t>Reservoir T (F)</t>
  </si>
  <si>
    <t>Psat (psig)</t>
  </si>
  <si>
    <t>DIFFERENTIAL VAPORIZATION DATA (from DV_Calc)</t>
  </si>
  <si>
    <t>Pressure (psia)</t>
  </si>
  <si>
    <t>Oil Density (g/cc, calc)</t>
  </si>
  <si>
    <t>Solution GOR Rs (scf/bbl)</t>
  </si>
  <si>
    <t>Rel Oil Vol Bo_d</t>
  </si>
  <si>
    <t>Rel Total Vol Bt_d</t>
  </si>
  <si>
    <t>Deviation Factor Z</t>
  </si>
  <si>
    <t>Gas FVF Bg (rcf/scf)</t>
  </si>
  <si>
    <t>Gas Gravity</t>
  </si>
  <si>
    <t>DV DATA CORRECTED TO SURFACE SEPARATOR CONDITIONS</t>
  </si>
  <si>
    <t>Rs = Rs_fb - (Rs_db - Rs_d) x (Bo_fb / Bo_db)   |   Bo = Bo_d x (Bo_fb / Bo_db)</t>
  </si>
  <si>
    <t>Test Stage</t>
  </si>
  <si>
    <t>Stage Pressure (psia)</t>
  </si>
  <si>
    <t>Rs (scf/STB)</t>
  </si>
  <si>
    <t>Bo (rb/STB)</t>
  </si>
  <si>
    <t>Bt (rb/STB)</t>
  </si>
  <si>
    <t>COMPOSITIONAL ANALYSIS OF RESERVOIR FLUID SAMPLE TO C36+</t>
  </si>
  <si>
    <t>Reservoir Mol%</t>
  </si>
  <si>
    <t>Reservoir Wt%</t>
  </si>
  <si>
    <t>STO Wt%</t>
  </si>
  <si>
    <t>STAGE GAS COMPOSITIONS (Mol%) — DV Depletion Stages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</si>
  <si>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</si>
  <si>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</si>
  <si>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</si>
  <si>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</si>
  <si>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</si>
  <si>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</si>
  <si>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</si>
  <si>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</si>
  <si>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>PLUS-FRACTION PROPERTIES</t>
  </si>
  <si>
    <t>Cut</t>
  </si>
  <si>
    <t>rho (g/cc)</t>
  </si>
  <si>
    <t>C7+</t>
  </si>
  <si>
    <t>C11+</t>
  </si>
  <si>
    <t>C20+</t>
  </si>
  <si>
    <t>CALCULATED WHOLE SAMPLE PROPERTIES</t>
  </si>
  <si>
    <t>Average Molecular Weight (Res, g/mol)</t>
  </si>
  <si>
    <t>Average Molecular Weight (STO, g/mol)</t>
  </si>
  <si>
    <t>Density @ 60F (Res, g/cc)</t>
  </si>
  <si>
    <t>Density @ 60F (STO, Measured)</t>
  </si>
  <si>
    <t>API Gravity (STO)</t>
  </si>
  <si>
    <t>Gas Gravity (Res)</t>
  </si>
  <si>
    <t>REFERENCE FOOTNOTES</t>
  </si>
  <si>
    <t>(1) GOR in cubic feet of gas at 14.73 psia and 60F per barrel of residual oil at 60F</t>
  </si>
  <si>
    <t>(2) Volume of oil at indicated pressure and temperature per volume of residual oil at 60F</t>
  </si>
  <si>
    <t>(3) Volume of oil + liberated gas at indicated pressure and temperature per volume of residual oil at 60F</t>
  </si>
  <si>
    <t>(4) Volume of gas at indicated pressure and temperature per volume at 14.73 psia and 60F</t>
  </si>
  <si>
    <t>(5) Rs and Bo corrected to surface separator conditions using: Rs=Rs_fb-(Rs_db-Rs_d)x(Bo_fb/Bo_db)</t>
  </si>
  <si>
    <t>SURFACE SEPARATOR CONDITIONS USED FOR CORRECTIONS</t>
  </si>
  <si>
    <t>Stage 1 Separator Pressure (psia)</t>
  </si>
  <si>
    <t>Stage 1 Separator Temperature (F)</t>
  </si>
  <si>
    <t>Stage 2 (Stock Tank) Pressure (psia)</t>
  </si>
  <si>
    <t>Stage 2 (Stock Tank) Temperature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</si>
</sst>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0.000000"/>
    <numFmt numFmtId="168" formatCode="0.00000000"/>
  </numFmts>
  <fonts count="19">
    <font>
      <sz val="11"/>
      <color theme="1"/>
      <name val="Calibri"/>
      <family val="2"/>
      <scheme val="minor"/>
    </font>
    <font>
      <b/>
      <sz val="14"/>
      <color rgb="FF003C71"/>
      <name val="Calibri"/>
    </font>
    <font>
      <i/>
      <sz val="9"/>
      <color rgb="FF5A6470"/>
      <name val="Calibri"/>
    </font>
    <font>
      <b/>
      <sz val="12"/>
      <color rgb="FFFFFFFF"/>
      <name val="Calibri"/>
    </font>
    <font>
      <b/>
      <sz val="11"/>
      <color rgb="FF1A2230"/>
      <name val="Calibri"/>
    </font>
    <font>
      <b/>
      <sz val="11"/>
      <color rgb="FF0033A0"/>
      <name val="Calibri"/>
    </font>
    <font>
      <i/>
      <sz val="11"/>
      <color rgb="FF000000"/>
      <name val="Calibri"/>
    </font>
    <font>
      <b/>
      <sz val="11"/>
      <color rgb="FF4B0082"/>
      <name val="Calibri"/>
    </font>
    <font>
      <b/>
      <sz val="12"/>
      <color rgb="FF4B0082"/>
      <name val="Calibri"/>
    </font>
    <font>
      <i/>
      <sz val="11"/>
      <color rgb="FF333333"/>
      <name val="Calibri"/>
    </font>
    <font>
      <sz val="11"/>
      <color rgb="FF000000"/>
      <name val="Calibri"/>
    </font>
    <font>
      <b/>
      <sz val="11"/>
      <color rgb="FF003C71"/>
      <name val="Calibri"/>
    </font>
    <font>
      <b/>
      <i/>
      <sz val="11"/>
      <color rgb="FF003C71"/>
      <name val="Calibri"/>
    </font>
    <font>
      <b/>
      <sz val="9"/>
      <color rgb="FF1A2230"/>
      <name val="Calibri"/>
    </font>
    <font>
      <i/>
      <sz val="10"/>
      <color rgb="FF808080"/>
      <name val="Calibri"/>
    </font>
    <font>
      <b/>
      <sz val="12"/>
      <color rgb="FF003C71"/>
      <name val="Calibri"/>
    </font>
    <font>
      <i/>
      <sz val="10"/>
      <color rgb="FF5A6470"/>
      <name val="Calibri"/>
    </font>
    <font>
      <i/>
      <sz val="10"/>
      <color rgb="FF003C71"/>
      <name val="Calibri"/>
    </font>
    <font>
      <b/>
      <i/>
      <sz val="10"/>
      <color rgb="FF003C7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4"/>
      </patternFill>
    </fill>
    <fill>
      <patternFill patternType="solid">
        <fgColor rgb="FFF2F4F7"/>
      </patternFill>
    </fill>
    <fill>
      <patternFill patternType="solid">
        <fgColor rgb="FFFFF9D6"/>
      </patternFill>
    </fill>
    <fill>
      <patternFill patternType="solid">
        <fgColor rgb="FFEAF1FA"/>
      </patternFill>
    </fill>
    <fill>
      <patternFill patternType="solid">
        <fgColor rgb="FFEDE4F7"/>
      </patternFill>
    </fill>
    <fill>
      <patternFill patternType="solid">
        <fgColor rgb="FFE1D5F5"/>
      </patternFill>
    </fill>
    <fill>
      <patternFill patternType="solid">
        <fgColor rgb="FFEEEEEE"/>
      </patternFill>
    </fill>
  </fills>
  <borders count="5">
    <border>
      <left/>
      <right/>
      <top/>
      <bottom/>
      <diagonal/>
    </border>
    <border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/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/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1" fontId="6" fillId="6" borderId="1" xfId="0" applyNumberFormat="1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right" vertical="center" wrapText="1"/>
    </xf>
    <xf numFmtId="165" fontId="6" fillId="6" borderId="1" xfId="0" applyNumberFormat="1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2" fontId="8" fillId="8" borderId="2" xfId="0" applyNumberFormat="1" applyFont="1" applyFill="1" applyBorder="1" applyAlignment="1">
      <alignment horizontal="center" vertic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right" vertical="center" wrapText="1"/>
    </xf>
    <xf numFmtId="166" fontId="9" fillId="9" borderId="1" xfId="0" applyNumberFormat="1" applyFont="1" applyFill="1" applyBorder="1" applyAlignment="1">
      <alignment horizontal="right" vertical="center" wrapText="1"/>
    </xf>
    <xf numFmtId="2" fontId="9" fillId="9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166" fontId="5" fillId="5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5" fontId="9" fillId="9" borderId="1" xfId="0" applyNumberFormat="1" applyFont="1" applyFill="1" applyBorder="1" applyAlignment="1">
      <alignment horizontal="right" vertical="center" wrapText="1"/>
    </xf>
    <xf numFmtId="166" fontId="6" fillId="6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right" vertical="center" wrapText="1"/>
    </xf>
    <xf numFmtId="0" fontId="8" fillId="8" borderId="2" xfId="0" applyFont="1" applyFill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68" fontId="11" fillId="4" borderId="1" xfId="0" applyNumberFormat="1" applyFont="1" applyFill="1" applyBorder="1" applyAlignment="1">
      <alignment horizontal="right" vertical="center" wrapText="1"/>
    </xf>
    <xf numFmtId="1" fontId="10" fillId="0" borderId="1" xfId="0" applyNumberFormat="1" applyFont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vertical="center" wrapText="1"/>
    </xf>
    <xf numFmtId="167" fontId="6" fillId="6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5" fontId="18" fillId="6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8" fillId="8" borderId="2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Hoffman-Crump Plot: log10(K·P) vs F Factor (Selected Stage)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Hoffman equilibrium check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Material_Balance_QC!$K$94:$K$145</c:f>
              <c:numCache>
                <c:formatCode>0.0000</c:formatCode>
                <c:ptCount val="52"/>
                <c:pt idx="0">
                  <c:v>2.7477891759572421</c:v>
                </c:pt>
                <c:pt idx="1">
                  <c:v>2.1024808686884824</c:v>
                </c:pt>
                <c:pt idx="2">
                  <c:v>2.637198393907132</c:v>
                </c:pt>
                <c:pt idx="3">
                  <c:v>3.1756208266884389</c:v>
                </c:pt>
                <c:pt idx="4">
                  <c:v>2.8729507923273983</c:v>
                </c:pt>
                <c:pt idx="5">
                  <c:v>2.2781314453094037</c:v>
                </c:pt>
                <c:pt idx="6">
                  <c:v>1.8108515218329431</c:v>
                </c:pt>
                <c:pt idx="7">
                  <c:v>1.4837057380222713</c:v>
                </c:pt>
                <c:pt idx="8">
                  <c:v>1.3785259069613627</c:v>
                </c:pt>
                <c:pt idx="9">
                  <c:v>1.4232582421547415</c:v>
                </c:pt>
                <c:pt idx="10">
                  <c:v>1.0691616414946681</c:v>
                </c:pt>
                <c:pt idx="11">
                  <c:v>0.9898111682354257</c:v>
                </c:pt>
                <c:pt idx="12">
                  <c:v>0.63273663738009212</c:v>
                </c:pt>
                <c:pt idx="13">
                  <c:v>0.58984277622248993</c:v>
                </c:pt>
                <c:pt idx="14">
                  <c:v>0.50312145727922275</c:v>
                </c:pt>
                <c:pt idx="15">
                  <c:v>0.48780767924990009</c:v>
                </c:pt>
                <c:pt idx="16">
                  <c:v>0.30022173963052728</c:v>
                </c:pt>
                <c:pt idx="17">
                  <c:v>0.25313318015136699</c:v>
                </c:pt>
                <c:pt idx="18">
                  <c:v>0.1606440760489295</c:v>
                </c:pt>
                <c:pt idx="19">
                  <c:v>-1.4490703701108873E-2</c:v>
                </c:pt>
                <c:pt idx="20">
                  <c:v>-0.1271794829566513</c:v>
                </c:pt>
                <c:pt idx="21">
                  <c:v>-0.14568687160147986</c:v>
                </c:pt>
                <c:pt idx="22">
                  <c:v>-0.23473968472386922</c:v>
                </c:pt>
                <c:pt idx="23">
                  <c:v>-0.31246476997445294</c:v>
                </c:pt>
                <c:pt idx="24">
                  <c:v>-0.68818568936700542</c:v>
                </c:pt>
                <c:pt idx="25">
                  <c:v>-0.59788614074105462</c:v>
                </c:pt>
                <c:pt idx="26">
                  <c:v>-0.89673240891768224</c:v>
                </c:pt>
                <c:pt idx="27">
                  <c:v>-1.1722357750690136</c:v>
                </c:pt>
                <c:pt idx="28">
                  <c:v>-1.4561244451150186</c:v>
                </c:pt>
                <c:pt idx="29">
                  <c:v>-1.7313112234793127</c:v>
                </c:pt>
                <c:pt idx="30">
                  <c:v>-1.9921418530534398</c:v>
                </c:pt>
                <c:pt idx="31">
                  <c:v>-2.2283803267496207</c:v>
                </c:pt>
                <c:pt idx="32">
                  <c:v>-2.4514011881020017</c:v>
                </c:pt>
                <c:pt idx="33">
                  <c:v>-2.6856771408326212</c:v>
                </c:pt>
                <c:pt idx="34">
                  <c:v>-2.8566378657718907</c:v>
                </c:pt>
                <c:pt idx="35">
                  <c:v>-3.0368156466707301</c:v>
                </c:pt>
                <c:pt idx="36">
                  <c:v>-3.1849898642325258</c:v>
                </c:pt>
                <c:pt idx="37">
                  <c:v>-3.3548819733789279</c:v>
                </c:pt>
                <c:pt idx="38">
                  <c:v>-3.51166525483782</c:v>
                </c:pt>
                <c:pt idx="39">
                  <c:v>-3.6649185039715633</c:v>
                </c:pt>
                <c:pt idx="40">
                  <c:v>-3.8153041354389345</c:v>
                </c:pt>
                <c:pt idx="41">
                  <c:v>-3.9652716143807267</c:v>
                </c:pt>
                <c:pt idx="42">
                  <c:v>-4.1408960364531309</c:v>
                </c:pt>
                <c:pt idx="43">
                  <c:v>-4.2280098318830825</c:v>
                </c:pt>
                <c:pt idx="44">
                  <c:v>-4.3895012704019445</c:v>
                </c:pt>
                <c:pt idx="45">
                  <c:v>-4.5245248560181519</c:v>
                </c:pt>
                <c:pt idx="46">
                  <c:v>-4.6090793659459308</c:v>
                </c:pt>
                <c:pt idx="47">
                  <c:v>-4.6777707453831869</c:v>
                </c:pt>
                <c:pt idx="48">
                  <c:v>-4.8191121621067943</c:v>
                </c:pt>
                <c:pt idx="49">
                  <c:v>-4.8933006392375509</c:v>
                </c:pt>
                <c:pt idx="50">
                  <c:v>-5.0204260030611394</c:v>
                </c:pt>
                <c:pt idx="51">
                  <c:v>-6.4444601314669345</c:v>
                </c:pt>
              </c:numCache>
            </c:numRef>
          </c:xVal>
          <c:yVal>
            <c:numRef>
              <c:f>Material_Balance_QC!$J$94:$J$145</c:f>
              <c:numCache>
                <c:formatCode>0.0000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43-46E4-8282-8A681A48C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Hoffman F Factor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log10(K · P_stage)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K-value Trend vs Pressure (log-log) — Key Components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C1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Material_Balance_QC!$D$149:$D$156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6-460E-8071-673C91BAB5CB}"/>
            </c:ext>
          </c:extLst>
        </c:ser>
        <c:ser>
          <c:idx val="1"/>
          <c:order val="1"/>
          <c:tx>
            <c:v>C2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Material_Balance_QC!$E$149:$E$156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6-460E-8071-673C91BAB5CB}"/>
            </c:ext>
          </c:extLst>
        </c:ser>
        <c:ser>
          <c:idx val="2"/>
          <c:order val="2"/>
          <c:tx>
            <c:v>C3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Material_Balance_QC!$F$149:$F$156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6-460E-8071-673C91BAB5CB}"/>
            </c:ext>
          </c:extLst>
        </c:ser>
        <c:ser>
          <c:idx val="3"/>
          <c:order val="3"/>
          <c:tx>
            <c:v>nC4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Material_Balance_QC!$G$149:$G$156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6-460E-8071-673C91BAB5CB}"/>
            </c:ext>
          </c:extLst>
        </c:ser>
        <c:ser>
          <c:idx val="4"/>
          <c:order val="4"/>
          <c:tx>
            <c:v>iC5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Material_Balance_QC!$H$149:$H$156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76-460E-8071-673C91BAB5CB}"/>
            </c:ext>
          </c:extLst>
        </c:ser>
        <c:ser>
          <c:idx val="5"/>
          <c:order val="5"/>
          <c:tx>
            <c:v>C6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Material_Balance_QC!$C$149:$C$156</c:f>
              <c:strCache>
                <c:ptCount val="8"/>
              </c:strCache>
            </c:strRef>
          </c:xVal>
          <c:yVal>
            <c:numRef>
              <c:f>Material_Balance_QC!$I$149:$I$156</c:f>
              <c:numCache>
                <c:formatCode>0.000000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76-460E-8071-673C91BAB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log10(Pressure, psia)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 = y_i / x_i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Bo_d vs Pressure (Oil FVF, Differential)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Plots!$B$6:$B$31</c:f>
              <c:numCache>
                <c:formatCode>0.0</c:formatCode>
                <c:ptCount val="26"/>
                <c:pt idx="0">
                  <c:v>1156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Plots!$C$6:$C$31</c:f>
              <c:numCache>
                <c:formatCode>0.0000</c:formatCode>
                <c:ptCount val="26"/>
                <c:pt idx="0">
                  <c:v>1.3308823529411764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A0-44FE-8E33-A1B527B5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(psia)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Bo_d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Rs_d vs Pressure (Solution GOR, Differential)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Plots!$B$6:$B$31</c:f>
              <c:numCache>
                <c:formatCode>0.0</c:formatCode>
                <c:ptCount val="26"/>
                <c:pt idx="0">
                  <c:v>1156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Plots!$D$6:$D$31</c:f>
              <c:numCache>
                <c:formatCode>0.00</c:formatCode>
                <c:ptCount val="26"/>
                <c:pt idx="0">
                  <c:v>521</c:v>
                </c:pt>
                <c:pt idx="1">
                  <c:v>521</c:v>
                </c:pt>
                <c:pt idx="2">
                  <c:v>521</c:v>
                </c:pt>
                <c:pt idx="3">
                  <c:v>521</c:v>
                </c:pt>
                <c:pt idx="4">
                  <c:v>521</c:v>
                </c:pt>
                <c:pt idx="5">
                  <c:v>521</c:v>
                </c:pt>
                <c:pt idx="6">
                  <c:v>521</c:v>
                </c:pt>
                <c:pt idx="7">
                  <c:v>521</c:v>
                </c:pt>
                <c:pt idx="8">
                  <c:v>521</c:v>
                </c:pt>
                <c:pt idx="9">
                  <c:v>521</c:v>
                </c:pt>
                <c:pt idx="10">
                  <c:v>521</c:v>
                </c:pt>
                <c:pt idx="11">
                  <c:v>521</c:v>
                </c:pt>
                <c:pt idx="12">
                  <c:v>521</c:v>
                </c:pt>
                <c:pt idx="13">
                  <c:v>521</c:v>
                </c:pt>
                <c:pt idx="14">
                  <c:v>521</c:v>
                </c:pt>
                <c:pt idx="15">
                  <c:v>521</c:v>
                </c:pt>
                <c:pt idx="16">
                  <c:v>521</c:v>
                </c:pt>
                <c:pt idx="17">
                  <c:v>521</c:v>
                </c:pt>
                <c:pt idx="18">
                  <c:v>521</c:v>
                </c:pt>
                <c:pt idx="19">
                  <c:v>521</c:v>
                </c:pt>
                <c:pt idx="20">
                  <c:v>521</c:v>
                </c:pt>
                <c:pt idx="21">
                  <c:v>521</c:v>
                </c:pt>
                <c:pt idx="22">
                  <c:v>521</c:v>
                </c:pt>
                <c:pt idx="23">
                  <c:v>521</c:v>
                </c:pt>
                <c:pt idx="24">
                  <c:v>521</c:v>
                </c:pt>
                <c:pt idx="25">
                  <c:v>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F0-4547-BEBD-05655E26B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(psia)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Rs_d (scf/STB)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Oil Density (Calculated from Mass Balance) vs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Plots!$B$6:$B$31</c:f>
              <c:numCache>
                <c:formatCode>0.0</c:formatCode>
                <c:ptCount val="26"/>
                <c:pt idx="0">
                  <c:v>1156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Plots!$E$6:$E$31</c:f>
              <c:numCache>
                <c:formatCode>0.0000</c:formatCode>
                <c:ptCount val="26"/>
                <c:pt idx="0">
                  <c:v>0.68559999999999999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D7-4804-80CD-19C39680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(psia)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rho_oil (g/cc)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Z-factor vs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Plots!$B$6:$B$31</c:f>
              <c:numCache>
                <c:formatCode>0.0</c:formatCode>
                <c:ptCount val="26"/>
                <c:pt idx="0">
                  <c:v>1156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Plots!$F$6:$F$31</c:f>
              <c:numCache>
                <c:formatCode>0.0000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EC-450D-B62D-BD74CB013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(psia)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Gas Gravity vs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Plots!$B$6:$B$31</c:f>
              <c:numCache>
                <c:formatCode>0.0</c:formatCode>
                <c:ptCount val="26"/>
                <c:pt idx="0">
                  <c:v>1156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Plots!$G$6:$G$31</c:f>
              <c:numCache>
                <c:formatCode>0.0000</c:formatCode>
                <c:ptCount val="26"/>
                <c:pt idx="0">
                  <c:v>0</c:v>
                </c:pt>
                <c:pt idx="1">
                  <c:v>0.88476530175390133</c:v>
                </c:pt>
                <c:pt idx="2">
                  <c:v>0.92152059004281195</c:v>
                </c:pt>
                <c:pt idx="3">
                  <c:v>0.9752769796989369</c:v>
                </c:pt>
                <c:pt idx="4">
                  <c:v>1.0843267518298578</c:v>
                </c:pt>
                <c:pt idx="5">
                  <c:v>1.3658778431846432</c:v>
                </c:pt>
                <c:pt idx="6">
                  <c:v>2.3076993541637902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A5-4D2A-B807-CE99F13D2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(psia)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gamma_g (Air=1)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86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146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43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63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83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2" customWidth="1"/>
    <col min="2" max="2" width="22" customWidth="1"/>
    <col min="3" max="3" width="24" customWidth="1"/>
    <col min="4" max="4" width="22" customWidth="1"/>
    <col min="5" max="5" width="24" customWidth="1"/>
    <col min="6" max="6" width="22" customWidth="1"/>
  </cols>
  <sheetData>
    <row r="1" spans="1:6" ht="26.1" customHeight="1">
      <c r="A1" s="44" t="s">
        <v>0</v>
      </c>
      <c r="B1" s="57"/>
      <c r="C1" s="57"/>
      <c r="D1" s="57"/>
      <c r="E1" s="57"/>
      <c r="F1" s="57"/>
    </row>
    <row r="2" spans="1:6" ht="15" customHeight="1">
      <c r="A2" s="42" t="s">
        <v>1</v>
      </c>
      <c r="B2" s="57"/>
      <c r="C2" s="57"/>
      <c r="D2" s="57"/>
      <c r="E2" s="57"/>
      <c r="F2" s="57"/>
    </row>
    <row r="4" spans="1:6" ht="21.95" customHeight="1">
      <c r="A4" s="43" t="s">
        <v>2</v>
      </c>
      <c r="B4" s="57"/>
      <c r="C4" s="57"/>
      <c r="D4" s="57"/>
      <c r="E4" s="57"/>
      <c r="F4" s="57"/>
    </row>
    <row r="5" spans="1:6">
      <c r="A5" s="1" t="s">
        <v>3</v>
      </c>
      <c r="B5" s="2" t="s">
        <v>4</v>
      </c>
      <c r="D5" s="1" t="s">
        <v>5</v>
      </c>
      <c r="E5" s="2" t="s">
        <v>6</v>
      </c>
    </row>
    <row r="6" spans="1:6">
      <c r="A6" s="1" t="s">
        <v>7</v>
      </c>
      <c r="B6" s="2" t="s">
        <v>8</v>
      </c>
      <c r="D6" s="1" t="s">
        <v>9</v>
      </c>
      <c r="E6" s="2" t="s">
        <v>10</v>
      </c>
    </row>
    <row r="7" spans="1:6">
      <c r="A7" s="1" t="s">
        <v>11</v>
      </c>
      <c r="B7" s="2" t="s">
        <v>12</v>
      </c>
      <c r="D7" s="1" t="s">
        <v>13</v>
      </c>
      <c r="E7" s="2" t="s">
        <v>14</v>
      </c>
    </row>
    <row r="8" spans="1:6">
      <c r="A8" s="1" t="s">
        <v>15</v>
      </c>
      <c r="B8" s="2">
        <v>9105</v>
      </c>
      <c r="D8" s="1" t="s">
        <v>16</v>
      </c>
      <c r="E8" s="2" t="s">
        <v>17</v>
      </c>
    </row>
    <row r="9" spans="1:6">
      <c r="A9" s="1" t="s">
        <v>18</v>
      </c>
      <c r="B9" s="2" t="s">
        <v>19</v>
      </c>
      <c r="D9" s="1" t="s">
        <v>20</v>
      </c>
      <c r="E9" s="2" t="s">
        <v>21</v>
      </c>
    </row>
    <row r="11" spans="1:6" ht="21.95" customHeight="1">
      <c r="A11" s="43" t="s">
        <v>22</v>
      </c>
      <c r="B11" s="57"/>
      <c r="C11" s="57"/>
      <c r="D11" s="57"/>
      <c r="E11" s="57"/>
      <c r="F11" s="57"/>
    </row>
    <row r="12" spans="1:6">
      <c r="A12" s="1" t="s">
        <v>23</v>
      </c>
      <c r="B12" s="3">
        <v>3939</v>
      </c>
      <c r="D12" s="1" t="s">
        <v>24</v>
      </c>
      <c r="E12" s="3">
        <v>256</v>
      </c>
    </row>
    <row r="13" spans="1:6">
      <c r="A13" s="1" t="s">
        <v>25</v>
      </c>
      <c r="B13" s="3">
        <v>1156</v>
      </c>
      <c r="D13" s="1" t="s">
        <v>26</v>
      </c>
      <c r="E13" s="4">
        <v>0.68559999999999999</v>
      </c>
    </row>
    <row r="14" spans="1:6">
      <c r="A14" s="1" t="s">
        <v>27</v>
      </c>
      <c r="B14" s="3">
        <v>521</v>
      </c>
      <c r="D14" s="1" t="s">
        <v>28</v>
      </c>
      <c r="E14" s="4">
        <v>1.331</v>
      </c>
    </row>
    <row r="15" spans="1:6">
      <c r="A15" s="1" t="s">
        <v>29</v>
      </c>
      <c r="B15" s="3">
        <v>521</v>
      </c>
      <c r="D15" s="1" t="s">
        <v>30</v>
      </c>
      <c r="E15" s="5">
        <v>35.43</v>
      </c>
    </row>
    <row r="16" spans="1:6">
      <c r="A16" s="1" t="s">
        <v>31</v>
      </c>
      <c r="B16" s="4">
        <v>0.84789999999999999</v>
      </c>
      <c r="D16" s="1" t="s">
        <v>32</v>
      </c>
      <c r="E16" s="5">
        <v>195</v>
      </c>
    </row>
    <row r="18" spans="1:6" ht="21.95" customHeight="1">
      <c r="A18" s="43" t="s">
        <v>33</v>
      </c>
      <c r="B18" s="57"/>
      <c r="C18" s="57"/>
      <c r="D18" s="57"/>
      <c r="E18" s="57"/>
      <c r="F18" s="57"/>
    </row>
    <row r="19" spans="1:6">
      <c r="A19" s="1" t="s">
        <v>34</v>
      </c>
      <c r="B19" s="2" t="s">
        <v>35</v>
      </c>
      <c r="D19" s="1" t="s">
        <v>36</v>
      </c>
      <c r="E19" s="2" t="s">
        <v>37</v>
      </c>
    </row>
    <row r="20" spans="1:6">
      <c r="A20" s="1" t="s">
        <v>38</v>
      </c>
      <c r="B20" s="2" t="s">
        <v>39</v>
      </c>
      <c r="D20" s="1" t="s">
        <v>40</v>
      </c>
      <c r="E20" s="2" t="s">
        <v>41</v>
      </c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>
      <pane ySplit="22" topLeftCell="A23" activePane="bottomLeft" state="frozen"/>
      <selection pane="bottomLeft"/>
    </sheetView>
  </sheetViews>
  <sheetFormatPr defaultRowHeight="15"/>
  <cols>
    <col min="1" max="1" width="6" customWidth="1"/>
    <col min="2" max="2" width="12" customWidth="1"/>
    <col min="3" max="3" width="9" customWidth="1"/>
    <col min="4" max="5" width="14" customWidth="1"/>
    <col min="6" max="10" width="12" customWidth="1"/>
    <col min="11" max="11" width="11" customWidth="1"/>
    <col min="12" max="14" width="13" customWidth="1"/>
    <col min="15" max="15" width="11" customWidth="1"/>
    <col min="16" max="16" width="16" customWidth="1"/>
  </cols>
  <sheetData>
    <row r="1" spans="1:16" ht="26.1" customHeight="1">
      <c r="A1" s="44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5" customHeight="1">
      <c r="A2" s="42" t="s">
        <v>43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4" spans="1:16" ht="21.95" customHeight="1">
      <c r="A4" s="43" t="s">
        <v>44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16">
      <c r="A5" s="1" t="s">
        <v>45</v>
      </c>
      <c r="B5" s="6">
        <f>Sample_Info!B13</f>
        <v>1156</v>
      </c>
      <c r="D5" s="1" t="s">
        <v>46</v>
      </c>
      <c r="E5" s="7">
        <f>Sample_Info!E13</f>
        <v>0.68559999999999999</v>
      </c>
    </row>
    <row r="6" spans="1:16">
      <c r="A6" s="1" t="s">
        <v>24</v>
      </c>
      <c r="B6" s="6">
        <f>Sample_Info!E12</f>
        <v>256</v>
      </c>
      <c r="D6" s="1" t="s">
        <v>23</v>
      </c>
      <c r="E6" s="6">
        <f>Sample_Info!B12</f>
        <v>3939</v>
      </c>
    </row>
    <row r="7" spans="1:16">
      <c r="A7" s="1" t="s">
        <v>47</v>
      </c>
      <c r="B7" s="8">
        <f>Sample_Info!B14</f>
        <v>521</v>
      </c>
      <c r="D7" s="1" t="s">
        <v>48</v>
      </c>
      <c r="E7" s="7">
        <f>Sample_Info!E14</f>
        <v>1.331</v>
      </c>
    </row>
    <row r="8" spans="1:16">
      <c r="A8" s="1" t="s">
        <v>49</v>
      </c>
      <c r="B8" s="5">
        <v>476</v>
      </c>
      <c r="D8" s="1" t="s">
        <v>50</v>
      </c>
      <c r="E8" s="3">
        <v>1</v>
      </c>
    </row>
    <row r="9" spans="1:16" ht="21.95" customHeight="1">
      <c r="A9" s="9" t="s">
        <v>51</v>
      </c>
      <c r="B9" s="5">
        <v>350</v>
      </c>
      <c r="D9" s="9" t="s">
        <v>52</v>
      </c>
      <c r="E9" s="5">
        <v>633.5</v>
      </c>
    </row>
    <row r="10" spans="1:16">
      <c r="A10" s="1" t="s">
        <v>53</v>
      </c>
      <c r="B10" s="7">
        <f>Compositions_Master!X66</f>
        <v>0.84409943049964897</v>
      </c>
      <c r="D10" s="1" t="s">
        <v>54</v>
      </c>
      <c r="E10" s="4">
        <v>0.84789999999999999</v>
      </c>
    </row>
    <row r="11" spans="1:16">
      <c r="A11" s="1" t="s">
        <v>55</v>
      </c>
      <c r="B11" s="10">
        <f>Compositions_Master!X64</f>
        <v>219.62955349999996</v>
      </c>
      <c r="D11" s="1" t="s">
        <v>56</v>
      </c>
      <c r="E11" s="5">
        <v>195</v>
      </c>
    </row>
    <row r="12" spans="1:16" ht="21.95" customHeight="1">
      <c r="A12" s="9" t="s">
        <v>57</v>
      </c>
      <c r="B12" s="11">
        <f>Compositions_Master!F64</f>
        <v>0</v>
      </c>
      <c r="D12" s="9" t="s">
        <v>58</v>
      </c>
      <c r="E12" s="12">
        <f>Compositions_Master!F66</f>
        <v>0</v>
      </c>
    </row>
    <row r="14" spans="1:16" ht="21.95" customHeight="1">
      <c r="A14" s="43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16">
      <c r="A15" s="1" t="s">
        <v>60</v>
      </c>
      <c r="B15" s="5">
        <v>1013.25</v>
      </c>
      <c r="D15" s="1" t="s">
        <v>61</v>
      </c>
      <c r="E15" s="5">
        <v>0</v>
      </c>
    </row>
    <row r="16" spans="1:16">
      <c r="A16" s="1" t="s">
        <v>62</v>
      </c>
      <c r="B16" s="13">
        <v>1015.5981</v>
      </c>
      <c r="D16" s="1" t="s">
        <v>63</v>
      </c>
      <c r="E16" s="13">
        <v>288.7056</v>
      </c>
    </row>
    <row r="17" spans="1:16">
      <c r="A17" s="1" t="s">
        <v>64</v>
      </c>
      <c r="B17" s="14">
        <v>28.963999999999999</v>
      </c>
      <c r="D17" s="1" t="s">
        <v>65</v>
      </c>
      <c r="E17" s="14">
        <v>379.48200000000003</v>
      </c>
    </row>
    <row r="18" spans="1:16">
      <c r="A18" s="1" t="s">
        <v>66</v>
      </c>
      <c r="B18" s="15">
        <v>28316.85</v>
      </c>
      <c r="D18" s="1" t="s">
        <v>67</v>
      </c>
      <c r="E18" s="15">
        <v>158987.29</v>
      </c>
    </row>
    <row r="20" spans="1:16" ht="21.95" customHeight="1">
      <c r="A20" s="43" t="s">
        <v>68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2" spans="1:16" ht="42" customHeight="1">
      <c r="A22" s="16" t="s">
        <v>69</v>
      </c>
      <c r="B22" s="16" t="s">
        <v>70</v>
      </c>
      <c r="C22" s="16" t="s">
        <v>71</v>
      </c>
      <c r="D22" s="16" t="s">
        <v>72</v>
      </c>
      <c r="E22" s="16" t="s">
        <v>73</v>
      </c>
      <c r="F22" s="16" t="s">
        <v>74</v>
      </c>
      <c r="G22" s="16" t="s">
        <v>75</v>
      </c>
      <c r="H22" s="16" t="s">
        <v>76</v>
      </c>
      <c r="I22" s="16" t="s">
        <v>77</v>
      </c>
      <c r="J22" s="16" t="s">
        <v>78</v>
      </c>
      <c r="K22" s="16" t="s">
        <v>79</v>
      </c>
      <c r="L22" s="16" t="s">
        <v>80</v>
      </c>
      <c r="M22" s="16" t="s">
        <v>81</v>
      </c>
      <c r="N22" s="16" t="s">
        <v>82</v>
      </c>
      <c r="O22" s="16" t="s">
        <v>83</v>
      </c>
      <c r="P22" s="16" t="s">
        <v>84</v>
      </c>
    </row>
    <row r="23" spans="1:16">
      <c r="A23" s="17">
        <v>1</v>
      </c>
      <c r="B23" s="18">
        <v>1156</v>
      </c>
      <c r="C23" s="6">
        <f>$B$6</f>
        <v>256</v>
      </c>
      <c r="D23" s="4">
        <v>633.5</v>
      </c>
      <c r="E23" s="4">
        <v>633.5</v>
      </c>
      <c r="F23" s="18">
        <v>0</v>
      </c>
      <c r="G23" s="18">
        <v>0</v>
      </c>
      <c r="H23" s="19">
        <f>IF(AND(F23="",G23=""),"",IF(F23="",0,G23-F23))</f>
        <v>0</v>
      </c>
      <c r="I23" s="10">
        <f>$B$15</f>
        <v>1013.25</v>
      </c>
      <c r="J23" s="18">
        <v>20</v>
      </c>
      <c r="K23" s="20">
        <f>IF(OR(H23="",H23=0),0,H23*(I23/$B$16)*($E$16/(273.15+J23)))</f>
        <v>0</v>
      </c>
      <c r="L23" s="21">
        <f>K23/$B$18</f>
        <v>0</v>
      </c>
      <c r="M23" s="21">
        <v>0</v>
      </c>
      <c r="N23" s="4">
        <v>1</v>
      </c>
      <c r="O23" s="22"/>
      <c r="P23" s="2" t="s">
        <v>85</v>
      </c>
    </row>
    <row r="24" spans="1:16">
      <c r="A24" s="17">
        <v>2</v>
      </c>
      <c r="B24" s="18"/>
      <c r="C24" s="6">
        <f>$B$6</f>
        <v>256</v>
      </c>
      <c r="D24" s="4"/>
      <c r="E24" s="4"/>
      <c r="F24" s="18"/>
      <c r="G24" s="18"/>
      <c r="H24" s="19" t="str">
        <f>IF(AND(F24="",G24=""),"",IF(F24="",0,G24-F24))</f>
        <v/>
      </c>
      <c r="I24" s="10">
        <f>$B$15</f>
        <v>1013.25</v>
      </c>
      <c r="J24" s="18">
        <v>20</v>
      </c>
      <c r="K24" s="20">
        <f>IF(OR(H24="",H24=0),0,H24*(I24/$B$16)*($E$16/(273.15+J24)))</f>
        <v>0</v>
      </c>
      <c r="L24" s="21">
        <f>K24/$B$18</f>
        <v>0</v>
      </c>
      <c r="M24" s="7">
        <f>Compositions_Master!H67</f>
        <v>0.88476530175390133</v>
      </c>
      <c r="N24" s="4">
        <v>1</v>
      </c>
      <c r="O24" s="22"/>
      <c r="P24" s="2"/>
    </row>
    <row r="25" spans="1:16">
      <c r="A25" s="17">
        <v>3</v>
      </c>
      <c r="B25" s="18"/>
      <c r="C25" s="6">
        <f>$B$6</f>
        <v>256</v>
      </c>
      <c r="D25" s="4"/>
      <c r="E25" s="4"/>
      <c r="F25" s="18"/>
      <c r="G25" s="18"/>
      <c r="H25" s="19" t="str">
        <f>IF(AND(F25="",G25=""),"",IF(F25="",0,G25-F25))</f>
        <v/>
      </c>
      <c r="I25" s="10">
        <f>$B$15</f>
        <v>1013.25</v>
      </c>
      <c r="J25" s="18">
        <v>20</v>
      </c>
      <c r="K25" s="20">
        <f>IF(OR(H25="",H25=0),0,H25*(I25/$B$16)*($E$16/(273.15+J25)))</f>
        <v>0</v>
      </c>
      <c r="L25" s="21">
        <f>K25/$B$18</f>
        <v>0</v>
      </c>
      <c r="M25" s="7">
        <f>Compositions_Master!J67</f>
        <v>0.92152059004281195</v>
      </c>
      <c r="N25" s="4">
        <v>1</v>
      </c>
      <c r="O25" s="22"/>
      <c r="P25" s="2"/>
    </row>
    <row r="26" spans="1:16">
      <c r="A26" s="17">
        <v>4</v>
      </c>
      <c r="B26" s="18"/>
      <c r="C26" s="6">
        <f>$B$6</f>
        <v>256</v>
      </c>
      <c r="D26" s="4"/>
      <c r="E26" s="4"/>
      <c r="F26" s="18"/>
      <c r="G26" s="18"/>
      <c r="H26" s="19" t="str">
        <f>IF(AND(F26="",G26=""),"",IF(F26="",0,G26-F26))</f>
        <v/>
      </c>
      <c r="I26" s="10">
        <f>$B$15</f>
        <v>1013.25</v>
      </c>
      <c r="J26" s="18">
        <v>20</v>
      </c>
      <c r="K26" s="20">
        <f>IF(OR(H26="",H26=0),0,H26*(I26/$B$16)*($E$16/(273.15+J26)))</f>
        <v>0</v>
      </c>
      <c r="L26" s="21">
        <f>K26/$B$18</f>
        <v>0</v>
      </c>
      <c r="M26" s="7">
        <f>Compositions_Master!L67</f>
        <v>0.9752769796989369</v>
      </c>
      <c r="N26" s="4">
        <v>1</v>
      </c>
      <c r="O26" s="22"/>
      <c r="P26" s="2"/>
    </row>
    <row r="27" spans="1:16">
      <c r="A27" s="17">
        <v>5</v>
      </c>
      <c r="B27" s="18"/>
      <c r="C27" s="6">
        <f>$B$6</f>
        <v>256</v>
      </c>
      <c r="D27" s="4"/>
      <c r="E27" s="4"/>
      <c r="F27" s="18"/>
      <c r="G27" s="18"/>
      <c r="H27" s="19" t="str">
        <f>IF(AND(F27="",G27=""),"",IF(F27="",0,G27-F27))</f>
        <v/>
      </c>
      <c r="I27" s="10">
        <f>$B$15</f>
        <v>1013.25</v>
      </c>
      <c r="J27" s="18">
        <v>20</v>
      </c>
      <c r="K27" s="20">
        <f>IF(OR(H27="",H27=0),0,H27*(I27/$B$16)*($E$16/(273.15+J27)))</f>
        <v>0</v>
      </c>
      <c r="L27" s="21">
        <f>K27/$B$18</f>
        <v>0</v>
      </c>
      <c r="M27" s="7">
        <f>Compositions_Master!N67</f>
        <v>1.0843267518298578</v>
      </c>
      <c r="N27" s="4">
        <v>1</v>
      </c>
      <c r="O27" s="22"/>
      <c r="P27" s="2"/>
    </row>
    <row r="28" spans="1:16">
      <c r="A28" s="17">
        <v>6</v>
      </c>
      <c r="B28" s="18"/>
      <c r="C28" s="6">
        <f>$B$6</f>
        <v>256</v>
      </c>
      <c r="D28" s="4"/>
      <c r="E28" s="4"/>
      <c r="F28" s="18"/>
      <c r="G28" s="18"/>
      <c r="H28" s="19" t="str">
        <f>IF(AND(F28="",G28=""),"",IF(F28="",0,G28-F28))</f>
        <v/>
      </c>
      <c r="I28" s="10">
        <f>$B$15</f>
        <v>1013.25</v>
      </c>
      <c r="J28" s="18">
        <v>20</v>
      </c>
      <c r="K28" s="20">
        <f>IF(OR(H28="",H28=0),0,H28*(I28/$B$16)*($E$16/(273.15+J28)))</f>
        <v>0</v>
      </c>
      <c r="L28" s="21">
        <f>K28/$B$18</f>
        <v>0</v>
      </c>
      <c r="M28" s="7">
        <f>Compositions_Master!P67</f>
        <v>1.3658778431846432</v>
      </c>
      <c r="N28" s="4">
        <v>1</v>
      </c>
      <c r="O28" s="22"/>
      <c r="P28" s="2"/>
    </row>
    <row r="29" spans="1:16">
      <c r="A29" s="17">
        <v>7</v>
      </c>
      <c r="B29" s="18"/>
      <c r="C29" s="6">
        <f>$B$6</f>
        <v>256</v>
      </c>
      <c r="D29" s="4"/>
      <c r="E29" s="4"/>
      <c r="F29" s="18"/>
      <c r="G29" s="18"/>
      <c r="H29" s="19" t="str">
        <f>IF(AND(F29="",G29=""),"",IF(F29="",0,G29-F29))</f>
        <v/>
      </c>
      <c r="I29" s="10">
        <f>$B$15</f>
        <v>1013.25</v>
      </c>
      <c r="J29" s="18">
        <v>20</v>
      </c>
      <c r="K29" s="20">
        <f>IF(OR(H29="",H29=0),0,H29*(I29/$B$16)*($E$16/(273.15+J29)))</f>
        <v>0</v>
      </c>
      <c r="L29" s="21">
        <f>K29/$B$18</f>
        <v>0</v>
      </c>
      <c r="M29" s="7">
        <f>Compositions_Master!R67</f>
        <v>2.3076993541637902</v>
      </c>
      <c r="N29" s="4">
        <v>1</v>
      </c>
      <c r="O29" s="22"/>
      <c r="P29" s="2"/>
    </row>
    <row r="30" spans="1:16">
      <c r="A30" s="17">
        <v>8</v>
      </c>
      <c r="B30" s="18"/>
      <c r="C30" s="6">
        <f>$B$6</f>
        <v>256</v>
      </c>
      <c r="D30" s="4"/>
      <c r="E30" s="4"/>
      <c r="F30" s="18"/>
      <c r="G30" s="18"/>
      <c r="H30" s="19" t="str">
        <f>IF(AND(F30="",G30=""),"",IF(F30="",0,G30-F30))</f>
        <v/>
      </c>
      <c r="I30" s="10">
        <f>$B$15</f>
        <v>1013.25</v>
      </c>
      <c r="J30" s="18">
        <v>20</v>
      </c>
      <c r="K30" s="20">
        <f>IF(OR(H30="",H30=0),0,H30*(I30/$B$16)*($E$16/(273.15+J30)))</f>
        <v>0</v>
      </c>
      <c r="L30" s="21">
        <f>K30/$B$18</f>
        <v>0</v>
      </c>
      <c r="M30" s="7">
        <f>Compositions_Master!T67</f>
        <v>0</v>
      </c>
      <c r="N30" s="4">
        <v>1</v>
      </c>
      <c r="O30" s="22"/>
      <c r="P30" s="2"/>
    </row>
    <row r="31" spans="1:16">
      <c r="A31" s="17">
        <v>9</v>
      </c>
      <c r="B31" s="18"/>
      <c r="C31" s="6">
        <f>$B$6</f>
        <v>256</v>
      </c>
      <c r="D31" s="4"/>
      <c r="E31" s="4"/>
      <c r="F31" s="18"/>
      <c r="G31" s="18"/>
      <c r="H31" s="19" t="str">
        <f>IF(AND(F31="",G31=""),"",IF(F31="",0,G31-F31))</f>
        <v/>
      </c>
      <c r="I31" s="10">
        <f>$B$15</f>
        <v>1013.25</v>
      </c>
      <c r="J31" s="18">
        <v>20</v>
      </c>
      <c r="K31" s="20">
        <f>IF(OR(H31="",H31=0),0,H31*(I31/$B$16)*($E$16/(273.15+J31)))</f>
        <v>0</v>
      </c>
      <c r="L31" s="21">
        <f>K31/$B$18</f>
        <v>0</v>
      </c>
      <c r="M31" s="7">
        <f>Compositions_Master!V67</f>
        <v>0</v>
      </c>
      <c r="N31" s="4">
        <v>1</v>
      </c>
      <c r="O31" s="22"/>
      <c r="P31" s="2"/>
    </row>
    <row r="32" spans="1:16">
      <c r="A32" s="17">
        <v>10</v>
      </c>
      <c r="B32" s="18"/>
      <c r="C32" s="6">
        <f>$B$6</f>
        <v>256</v>
      </c>
      <c r="D32" s="4"/>
      <c r="E32" s="4"/>
      <c r="F32" s="18"/>
      <c r="G32" s="18"/>
      <c r="H32" s="19" t="str">
        <f>IF(AND(F32="",G32=""),"",IF(F32="",0,G32-F32))</f>
        <v/>
      </c>
      <c r="I32" s="10">
        <f>$B$15</f>
        <v>1013.25</v>
      </c>
      <c r="J32" s="18">
        <v>20</v>
      </c>
      <c r="K32" s="20">
        <f>IF(OR(H32="",H32=0),0,H32*(I32/$B$16)*($E$16/(273.15+J32)))</f>
        <v>0</v>
      </c>
      <c r="L32" s="21">
        <f>K32/$B$18</f>
        <v>0</v>
      </c>
      <c r="M32" s="4">
        <v>0</v>
      </c>
      <c r="N32" s="4">
        <v>1</v>
      </c>
      <c r="O32" s="22"/>
      <c r="P32" s="2"/>
    </row>
    <row r="33" spans="1:16">
      <c r="A33" s="17">
        <v>11</v>
      </c>
      <c r="B33" s="18"/>
      <c r="C33" s="6">
        <f>$B$6</f>
        <v>256</v>
      </c>
      <c r="D33" s="4"/>
      <c r="E33" s="4"/>
      <c r="F33" s="18"/>
      <c r="G33" s="18"/>
      <c r="H33" s="19" t="str">
        <f>IF(AND(F33="",G33=""),"",IF(F33="",0,G33-F33))</f>
        <v/>
      </c>
      <c r="I33" s="10">
        <f>$B$15</f>
        <v>1013.25</v>
      </c>
      <c r="J33" s="18">
        <v>20</v>
      </c>
      <c r="K33" s="20">
        <f>IF(OR(H33="",H33=0),0,H33*(I33/$B$16)*($E$16/(273.15+J33)))</f>
        <v>0</v>
      </c>
      <c r="L33" s="21">
        <f>K33/$B$18</f>
        <v>0</v>
      </c>
      <c r="M33" s="4">
        <v>0</v>
      </c>
      <c r="N33" s="4">
        <v>1</v>
      </c>
      <c r="O33" s="22"/>
      <c r="P33" s="2"/>
    </row>
    <row r="34" spans="1:16">
      <c r="A34" s="17">
        <v>12</v>
      </c>
      <c r="B34" s="18"/>
      <c r="C34" s="6">
        <f>$B$6</f>
        <v>256</v>
      </c>
      <c r="D34" s="4"/>
      <c r="E34" s="4"/>
      <c r="F34" s="18"/>
      <c r="G34" s="18"/>
      <c r="H34" s="19" t="str">
        <f>IF(AND(F34="",G34=""),"",IF(F34="",0,G34-F34))</f>
        <v/>
      </c>
      <c r="I34" s="10">
        <f>$B$15</f>
        <v>1013.25</v>
      </c>
      <c r="J34" s="18">
        <v>20</v>
      </c>
      <c r="K34" s="20">
        <f>IF(OR(H34="",H34=0),0,H34*(I34/$B$16)*($E$16/(273.15+J34)))</f>
        <v>0</v>
      </c>
      <c r="L34" s="21">
        <f>K34/$B$18</f>
        <v>0</v>
      </c>
      <c r="M34" s="4">
        <v>0</v>
      </c>
      <c r="N34" s="4">
        <v>1</v>
      </c>
      <c r="O34" s="22"/>
      <c r="P34" s="2"/>
    </row>
    <row r="35" spans="1:16">
      <c r="A35" s="17">
        <v>13</v>
      </c>
      <c r="B35" s="18"/>
      <c r="C35" s="6">
        <f>$B$6</f>
        <v>256</v>
      </c>
      <c r="D35" s="4"/>
      <c r="E35" s="4"/>
      <c r="F35" s="18"/>
      <c r="G35" s="18"/>
      <c r="H35" s="19" t="str">
        <f>IF(AND(F35="",G35=""),"",IF(F35="",0,G35-F35))</f>
        <v/>
      </c>
      <c r="I35" s="10">
        <f>$B$15</f>
        <v>1013.25</v>
      </c>
      <c r="J35" s="18">
        <v>20</v>
      </c>
      <c r="K35" s="20">
        <f>IF(OR(H35="",H35=0),0,H35*(I35/$B$16)*($E$16/(273.15+J35)))</f>
        <v>0</v>
      </c>
      <c r="L35" s="21">
        <f>K35/$B$18</f>
        <v>0</v>
      </c>
      <c r="M35" s="4">
        <v>0</v>
      </c>
      <c r="N35" s="4">
        <v>1</v>
      </c>
      <c r="O35" s="22"/>
      <c r="P35" s="2"/>
    </row>
    <row r="36" spans="1:16">
      <c r="A36" s="17">
        <v>14</v>
      </c>
      <c r="B36" s="18"/>
      <c r="C36" s="6">
        <f>$B$6</f>
        <v>256</v>
      </c>
      <c r="D36" s="4"/>
      <c r="E36" s="4"/>
      <c r="F36" s="18"/>
      <c r="G36" s="18"/>
      <c r="H36" s="19" t="str">
        <f>IF(AND(F36="",G36=""),"",IF(F36="",0,G36-F36))</f>
        <v/>
      </c>
      <c r="I36" s="10">
        <f>$B$15</f>
        <v>1013.25</v>
      </c>
      <c r="J36" s="18">
        <v>20</v>
      </c>
      <c r="K36" s="20">
        <f>IF(OR(H36="",H36=0),0,H36*(I36/$B$16)*($E$16/(273.15+J36)))</f>
        <v>0</v>
      </c>
      <c r="L36" s="21">
        <f>K36/$B$18</f>
        <v>0</v>
      </c>
      <c r="M36" s="4">
        <v>0</v>
      </c>
      <c r="N36" s="4">
        <v>1</v>
      </c>
      <c r="O36" s="22"/>
      <c r="P36" s="2"/>
    </row>
    <row r="37" spans="1:16">
      <c r="A37" s="17">
        <v>15</v>
      </c>
      <c r="B37" s="18"/>
      <c r="C37" s="6">
        <f>$B$6</f>
        <v>256</v>
      </c>
      <c r="D37" s="4"/>
      <c r="E37" s="4"/>
      <c r="F37" s="18"/>
      <c r="G37" s="18"/>
      <c r="H37" s="19" t="str">
        <f>IF(AND(F37="",G37=""),"",IF(F37="",0,G37-F37))</f>
        <v/>
      </c>
      <c r="I37" s="10">
        <f>$B$15</f>
        <v>1013.25</v>
      </c>
      <c r="J37" s="18">
        <v>20</v>
      </c>
      <c r="K37" s="20">
        <f>IF(OR(H37="",H37=0),0,H37*(I37/$B$16)*($E$16/(273.15+J37)))</f>
        <v>0</v>
      </c>
      <c r="L37" s="21">
        <f>K37/$B$18</f>
        <v>0</v>
      </c>
      <c r="M37" s="4">
        <v>0</v>
      </c>
      <c r="N37" s="4">
        <v>1</v>
      </c>
      <c r="O37" s="22"/>
      <c r="P37" s="2"/>
    </row>
    <row r="38" spans="1:16">
      <c r="A38" s="17">
        <v>16</v>
      </c>
      <c r="B38" s="18"/>
      <c r="C38" s="6">
        <f>$B$6</f>
        <v>256</v>
      </c>
      <c r="D38" s="4"/>
      <c r="E38" s="4"/>
      <c r="F38" s="18"/>
      <c r="G38" s="18"/>
      <c r="H38" s="19" t="str">
        <f>IF(AND(F38="",G38=""),"",IF(F38="",0,G38-F38))</f>
        <v/>
      </c>
      <c r="I38" s="10">
        <f>$B$15</f>
        <v>1013.25</v>
      </c>
      <c r="J38" s="18">
        <v>20</v>
      </c>
      <c r="K38" s="20">
        <f>IF(OR(H38="",H38=0),0,H38*(I38/$B$16)*($E$16/(273.15+J38)))</f>
        <v>0</v>
      </c>
      <c r="L38" s="21">
        <f>K38/$B$18</f>
        <v>0</v>
      </c>
      <c r="M38" s="4">
        <v>0</v>
      </c>
      <c r="N38" s="4">
        <v>1</v>
      </c>
      <c r="O38" s="22"/>
      <c r="P38" s="2"/>
    </row>
    <row r="39" spans="1:16">
      <c r="A39" s="17">
        <v>17</v>
      </c>
      <c r="B39" s="18"/>
      <c r="C39" s="6">
        <f>$B$6</f>
        <v>256</v>
      </c>
      <c r="D39" s="4"/>
      <c r="E39" s="4"/>
      <c r="F39" s="18"/>
      <c r="G39" s="18"/>
      <c r="H39" s="19" t="str">
        <f>IF(AND(F39="",G39=""),"",IF(F39="",0,G39-F39))</f>
        <v/>
      </c>
      <c r="I39" s="10">
        <f>$B$15</f>
        <v>1013.25</v>
      </c>
      <c r="J39" s="18">
        <v>20</v>
      </c>
      <c r="K39" s="20">
        <f>IF(OR(H39="",H39=0),0,H39*(I39/$B$16)*($E$16/(273.15+J39)))</f>
        <v>0</v>
      </c>
      <c r="L39" s="21">
        <f>K39/$B$18</f>
        <v>0</v>
      </c>
      <c r="M39" s="4">
        <v>0</v>
      </c>
      <c r="N39" s="4">
        <v>1</v>
      </c>
      <c r="O39" s="22"/>
      <c r="P39" s="2"/>
    </row>
    <row r="40" spans="1:16">
      <c r="A40" s="17">
        <v>18</v>
      </c>
      <c r="B40" s="18"/>
      <c r="C40" s="6">
        <f>$B$6</f>
        <v>256</v>
      </c>
      <c r="D40" s="4"/>
      <c r="E40" s="4"/>
      <c r="F40" s="18"/>
      <c r="G40" s="18"/>
      <c r="H40" s="19" t="str">
        <f>IF(AND(F40="",G40=""),"",IF(F40="",0,G40-F40))</f>
        <v/>
      </c>
      <c r="I40" s="10">
        <f>$B$15</f>
        <v>1013.25</v>
      </c>
      <c r="J40" s="18">
        <v>20</v>
      </c>
      <c r="K40" s="20">
        <f>IF(OR(H40="",H40=0),0,H40*(I40/$B$16)*($E$16/(273.15+J40)))</f>
        <v>0</v>
      </c>
      <c r="L40" s="21">
        <f>K40/$B$18</f>
        <v>0</v>
      </c>
      <c r="M40" s="4">
        <v>0</v>
      </c>
      <c r="N40" s="4">
        <v>1</v>
      </c>
      <c r="O40" s="22"/>
      <c r="P40" s="2"/>
    </row>
    <row r="41" spans="1:16">
      <c r="A41" s="17">
        <v>19</v>
      </c>
      <c r="B41" s="18"/>
      <c r="C41" s="6">
        <f>$B$6</f>
        <v>256</v>
      </c>
      <c r="D41" s="4"/>
      <c r="E41" s="4"/>
      <c r="F41" s="18"/>
      <c r="G41" s="18"/>
      <c r="H41" s="19" t="str">
        <f>IF(AND(F41="",G41=""),"",IF(F41="",0,G41-F41))</f>
        <v/>
      </c>
      <c r="I41" s="10">
        <f>$B$15</f>
        <v>1013.25</v>
      </c>
      <c r="J41" s="18">
        <v>20</v>
      </c>
      <c r="K41" s="20">
        <f>IF(OR(H41="",H41=0),0,H41*(I41/$B$16)*($E$16/(273.15+J41)))</f>
        <v>0</v>
      </c>
      <c r="L41" s="21">
        <f>K41/$B$18</f>
        <v>0</v>
      </c>
      <c r="M41" s="4">
        <v>0</v>
      </c>
      <c r="N41" s="4">
        <v>1</v>
      </c>
      <c r="O41" s="22"/>
      <c r="P41" s="2"/>
    </row>
    <row r="42" spans="1:16">
      <c r="A42" s="17">
        <v>20</v>
      </c>
      <c r="B42" s="18"/>
      <c r="C42" s="6">
        <f>$B$6</f>
        <v>256</v>
      </c>
      <c r="D42" s="4"/>
      <c r="E42" s="4"/>
      <c r="F42" s="18"/>
      <c r="G42" s="18"/>
      <c r="H42" s="19" t="str">
        <f>IF(AND(F42="",G42=""),"",IF(F42="",0,G42-F42))</f>
        <v/>
      </c>
      <c r="I42" s="10">
        <f>$B$15</f>
        <v>1013.25</v>
      </c>
      <c r="J42" s="18">
        <v>20</v>
      </c>
      <c r="K42" s="20">
        <f>IF(OR(H42="",H42=0),0,H42*(I42/$B$16)*($E$16/(273.15+J42)))</f>
        <v>0</v>
      </c>
      <c r="L42" s="21">
        <f>K42/$B$18</f>
        <v>0</v>
      </c>
      <c r="M42" s="4">
        <v>0</v>
      </c>
      <c r="N42" s="4">
        <v>1</v>
      </c>
      <c r="O42" s="22"/>
      <c r="P42" s="2"/>
    </row>
    <row r="43" spans="1:16">
      <c r="A43" s="17">
        <v>21</v>
      </c>
      <c r="B43" s="18"/>
      <c r="C43" s="6">
        <f>$B$6</f>
        <v>256</v>
      </c>
      <c r="D43" s="4"/>
      <c r="E43" s="4"/>
      <c r="F43" s="18"/>
      <c r="G43" s="18"/>
      <c r="H43" s="19" t="str">
        <f>IF(AND(F43="",G43=""),"",IF(F43="",0,G43-F43))</f>
        <v/>
      </c>
      <c r="I43" s="10">
        <f>$B$15</f>
        <v>1013.25</v>
      </c>
      <c r="J43" s="18">
        <v>20</v>
      </c>
      <c r="K43" s="20">
        <f>IF(OR(H43="",H43=0),0,H43*(I43/$B$16)*($E$16/(273.15+J43)))</f>
        <v>0</v>
      </c>
      <c r="L43" s="21">
        <f>K43/$B$18</f>
        <v>0</v>
      </c>
      <c r="M43" s="4">
        <v>0</v>
      </c>
      <c r="N43" s="4">
        <v>1</v>
      </c>
      <c r="O43" s="22"/>
      <c r="P43" s="2"/>
    </row>
    <row r="44" spans="1:16">
      <c r="A44" s="17">
        <v>22</v>
      </c>
      <c r="B44" s="18"/>
      <c r="C44" s="6">
        <f>$B$6</f>
        <v>256</v>
      </c>
      <c r="D44" s="4"/>
      <c r="E44" s="4"/>
      <c r="F44" s="18"/>
      <c r="G44" s="18"/>
      <c r="H44" s="19" t="str">
        <f>IF(AND(F44="",G44=""),"",IF(F44="",0,G44-F44))</f>
        <v/>
      </c>
      <c r="I44" s="10">
        <f>$B$15</f>
        <v>1013.25</v>
      </c>
      <c r="J44" s="18">
        <v>20</v>
      </c>
      <c r="K44" s="20">
        <f>IF(OR(H44="",H44=0),0,H44*(I44/$B$16)*($E$16/(273.15+J44)))</f>
        <v>0</v>
      </c>
      <c r="L44" s="21">
        <f>K44/$B$18</f>
        <v>0</v>
      </c>
      <c r="M44" s="4">
        <v>0</v>
      </c>
      <c r="N44" s="4">
        <v>1</v>
      </c>
      <c r="O44" s="22"/>
      <c r="P44" s="2"/>
    </row>
    <row r="45" spans="1:16">
      <c r="A45" s="17">
        <v>23</v>
      </c>
      <c r="B45" s="18"/>
      <c r="C45" s="6">
        <f>$B$6</f>
        <v>256</v>
      </c>
      <c r="D45" s="4"/>
      <c r="E45" s="4"/>
      <c r="F45" s="18"/>
      <c r="G45" s="18"/>
      <c r="H45" s="19" t="str">
        <f>IF(AND(F45="",G45=""),"",IF(F45="",0,G45-F45))</f>
        <v/>
      </c>
      <c r="I45" s="10">
        <f>$B$15</f>
        <v>1013.25</v>
      </c>
      <c r="J45" s="18">
        <v>20</v>
      </c>
      <c r="K45" s="20">
        <f>IF(OR(H45="",H45=0),0,H45*(I45/$B$16)*($E$16/(273.15+J45)))</f>
        <v>0</v>
      </c>
      <c r="L45" s="21">
        <f>K45/$B$18</f>
        <v>0</v>
      </c>
      <c r="M45" s="4">
        <v>0</v>
      </c>
      <c r="N45" s="4">
        <v>1</v>
      </c>
      <c r="O45" s="22"/>
      <c r="P45" s="2"/>
    </row>
    <row r="46" spans="1:16">
      <c r="A46" s="17">
        <v>24</v>
      </c>
      <c r="B46" s="18"/>
      <c r="C46" s="6">
        <f>$B$6</f>
        <v>256</v>
      </c>
      <c r="D46" s="4"/>
      <c r="E46" s="4"/>
      <c r="F46" s="18"/>
      <c r="G46" s="18"/>
      <c r="H46" s="19" t="str">
        <f>IF(AND(F46="",G46=""),"",IF(F46="",0,G46-F46))</f>
        <v/>
      </c>
      <c r="I46" s="10">
        <f>$B$15</f>
        <v>1013.25</v>
      </c>
      <c r="J46" s="18">
        <v>20</v>
      </c>
      <c r="K46" s="20">
        <f>IF(OR(H46="",H46=0),0,H46*(I46/$B$16)*($E$16/(273.15+J46)))</f>
        <v>0</v>
      </c>
      <c r="L46" s="21">
        <f>K46/$B$18</f>
        <v>0</v>
      </c>
      <c r="M46" s="4">
        <v>0</v>
      </c>
      <c r="N46" s="4">
        <v>1</v>
      </c>
      <c r="O46" s="22"/>
      <c r="P46" s="2"/>
    </row>
    <row r="47" spans="1:16">
      <c r="A47" s="17">
        <v>25</v>
      </c>
      <c r="B47" s="18"/>
      <c r="C47" s="6">
        <f>$B$6</f>
        <v>256</v>
      </c>
      <c r="D47" s="4"/>
      <c r="E47" s="4"/>
      <c r="F47" s="18"/>
      <c r="G47" s="18"/>
      <c r="H47" s="19" t="str">
        <f>IF(AND(F47="",G47=""),"",IF(F47="",0,G47-F47))</f>
        <v/>
      </c>
      <c r="I47" s="10">
        <f>$B$15</f>
        <v>1013.25</v>
      </c>
      <c r="J47" s="18">
        <v>20</v>
      </c>
      <c r="K47" s="20">
        <f>IF(OR(H47="",H47=0),0,H47*(I47/$B$16)*($E$16/(273.15+J47)))</f>
        <v>0</v>
      </c>
      <c r="L47" s="21">
        <f>K47/$B$18</f>
        <v>0</v>
      </c>
      <c r="M47" s="4">
        <v>0</v>
      </c>
      <c r="N47" s="4">
        <v>1</v>
      </c>
      <c r="O47" s="22"/>
      <c r="P47" s="2"/>
    </row>
    <row r="48" spans="1:16">
      <c r="A48" s="17">
        <v>26</v>
      </c>
      <c r="B48" s="18"/>
      <c r="C48" s="6">
        <f>$B$6</f>
        <v>256</v>
      </c>
      <c r="D48" s="4"/>
      <c r="E48" s="4"/>
      <c r="F48" s="18"/>
      <c r="G48" s="18"/>
      <c r="H48" s="19" t="str">
        <f>IF(AND(F48="",G48=""),"",IF(F48="",0,G48-F48))</f>
        <v/>
      </c>
      <c r="I48" s="10">
        <f>$B$15</f>
        <v>1013.25</v>
      </c>
      <c r="J48" s="18">
        <v>20</v>
      </c>
      <c r="K48" s="20">
        <f>IF(OR(H48="",H48=0),0,H48*(I48/$B$16)*($E$16/(273.15+J48)))</f>
        <v>0</v>
      </c>
      <c r="L48" s="21">
        <f>K48/$B$18</f>
        <v>0</v>
      </c>
      <c r="M48" s="4">
        <v>0</v>
      </c>
      <c r="N48" s="4">
        <v>1</v>
      </c>
      <c r="O48" s="22"/>
      <c r="P48" s="2"/>
    </row>
  </sheetData>
  <mergeCells count="5">
    <mergeCell ref="A14:P14"/>
    <mergeCell ref="A1:P1"/>
    <mergeCell ref="A4:P4"/>
    <mergeCell ref="A20:P20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13" customWidth="1"/>
    <col min="3" max="3" width="25" customWidth="1"/>
    <col min="4" max="4" width="10" customWidth="1"/>
    <col min="5" max="5" width="11" customWidth="1"/>
    <col min="6" max="8" width="10" customWidth="1"/>
    <col min="9" max="9" width="13" customWidth="1"/>
  </cols>
  <sheetData>
    <row r="1" spans="1:9" ht="26.1" customHeight="1">
      <c r="A1" s="44" t="s">
        <v>86</v>
      </c>
      <c r="B1" s="57"/>
      <c r="C1" s="57"/>
      <c r="D1" s="57"/>
      <c r="E1" s="57"/>
      <c r="F1" s="57"/>
      <c r="G1" s="57"/>
      <c r="H1" s="57"/>
      <c r="I1" s="57"/>
    </row>
    <row r="2" spans="1:9" ht="15" customHeight="1">
      <c r="A2" s="42" t="s">
        <v>87</v>
      </c>
      <c r="B2" s="57"/>
      <c r="C2" s="57"/>
      <c r="D2" s="57"/>
      <c r="E2" s="57"/>
      <c r="F2" s="57"/>
      <c r="G2" s="57"/>
      <c r="H2" s="57"/>
      <c r="I2" s="57"/>
    </row>
    <row r="4" spans="1:9" ht="32.1" customHeight="1">
      <c r="A4" s="16" t="s">
        <v>88</v>
      </c>
      <c r="B4" s="16" t="s">
        <v>89</v>
      </c>
      <c r="C4" s="16" t="s">
        <v>90</v>
      </c>
      <c r="D4" s="16" t="s">
        <v>91</v>
      </c>
      <c r="E4" s="16" t="s">
        <v>92</v>
      </c>
      <c r="F4" s="16" t="s">
        <v>93</v>
      </c>
      <c r="G4" s="16" t="s">
        <v>94</v>
      </c>
      <c r="H4" s="16" t="s">
        <v>95</v>
      </c>
      <c r="I4" s="16" t="s">
        <v>96</v>
      </c>
    </row>
    <row r="5" spans="1:9">
      <c r="A5" s="23">
        <v>1</v>
      </c>
      <c r="B5" s="24" t="s">
        <v>97</v>
      </c>
      <c r="C5" s="25" t="s">
        <v>98</v>
      </c>
      <c r="D5" s="14">
        <v>2.016</v>
      </c>
      <c r="E5" s="13">
        <v>7.1099999999999997E-2</v>
      </c>
      <c r="F5" s="26">
        <v>36.700000000000003</v>
      </c>
      <c r="G5" s="26">
        <v>188</v>
      </c>
      <c r="H5" s="26">
        <v>59.4</v>
      </c>
      <c r="I5" s="20">
        <f>D5/E5</f>
        <v>28.354430379746837</v>
      </c>
    </row>
    <row r="6" spans="1:9">
      <c r="A6" s="23">
        <v>2</v>
      </c>
      <c r="B6" s="24" t="s">
        <v>99</v>
      </c>
      <c r="C6" s="25" t="s">
        <v>100</v>
      </c>
      <c r="D6" s="14">
        <v>34.0809</v>
      </c>
      <c r="E6" s="13">
        <v>0.80059999999999998</v>
      </c>
      <c r="F6" s="26">
        <v>383.1</v>
      </c>
      <c r="G6" s="26">
        <v>1300</v>
      </c>
      <c r="H6" s="26">
        <v>672.4</v>
      </c>
      <c r="I6" s="20">
        <f>D6/E6</f>
        <v>42.569198101423936</v>
      </c>
    </row>
    <row r="7" spans="1:9">
      <c r="A7" s="23">
        <v>3</v>
      </c>
      <c r="B7" s="24" t="s">
        <v>101</v>
      </c>
      <c r="C7" s="25" t="s">
        <v>102</v>
      </c>
      <c r="D7" s="14">
        <v>44.009500000000003</v>
      </c>
      <c r="E7" s="13">
        <v>0.81799999999999995</v>
      </c>
      <c r="F7" s="26">
        <v>350</v>
      </c>
      <c r="G7" s="26">
        <v>1071</v>
      </c>
      <c r="H7" s="26">
        <v>547.6</v>
      </c>
      <c r="I7" s="20">
        <f>D7/E7</f>
        <v>53.801344743276289</v>
      </c>
    </row>
    <row r="8" spans="1:9">
      <c r="A8" s="23">
        <v>4</v>
      </c>
      <c r="B8" s="24" t="s">
        <v>103</v>
      </c>
      <c r="C8" s="25" t="s">
        <v>104</v>
      </c>
      <c r="D8" s="14">
        <v>28.013400000000001</v>
      </c>
      <c r="E8" s="13">
        <v>0.80940000000000001</v>
      </c>
      <c r="F8" s="26">
        <v>139.30000000000001</v>
      </c>
      <c r="G8" s="26">
        <v>493</v>
      </c>
      <c r="H8" s="26">
        <v>227.2</v>
      </c>
      <c r="I8" s="20">
        <f>D8/E8</f>
        <v>34.610081541882877</v>
      </c>
    </row>
    <row r="9" spans="1:9">
      <c r="A9" s="23">
        <v>5</v>
      </c>
      <c r="B9" s="24" t="s">
        <v>105</v>
      </c>
      <c r="C9" s="25" t="s">
        <v>106</v>
      </c>
      <c r="D9" s="14">
        <v>16.042999999999999</v>
      </c>
      <c r="E9" s="13">
        <v>0.3</v>
      </c>
      <c r="F9" s="26">
        <v>200.7</v>
      </c>
      <c r="G9" s="26">
        <v>666.4</v>
      </c>
      <c r="H9" s="26">
        <v>343</v>
      </c>
      <c r="I9" s="20">
        <f>D9/E9</f>
        <v>53.476666666666667</v>
      </c>
    </row>
    <row r="10" spans="1:9">
      <c r="A10" s="23">
        <v>6</v>
      </c>
      <c r="B10" s="24" t="s">
        <v>107</v>
      </c>
      <c r="C10" s="25" t="s">
        <v>108</v>
      </c>
      <c r="D10" s="14">
        <v>30.07</v>
      </c>
      <c r="E10" s="13">
        <v>0.35620000000000002</v>
      </c>
      <c r="F10" s="26">
        <v>332.2</v>
      </c>
      <c r="G10" s="26">
        <v>706.5</v>
      </c>
      <c r="H10" s="26">
        <v>549.6</v>
      </c>
      <c r="I10" s="20">
        <f>D10/E10</f>
        <v>84.418865805727123</v>
      </c>
    </row>
    <row r="11" spans="1:9">
      <c r="A11" s="23">
        <v>7</v>
      </c>
      <c r="B11" s="24" t="s">
        <v>109</v>
      </c>
      <c r="C11" s="25" t="s">
        <v>110</v>
      </c>
      <c r="D11" s="14">
        <v>44.097000000000001</v>
      </c>
      <c r="E11" s="13">
        <v>0.50700000000000001</v>
      </c>
      <c r="F11" s="26">
        <v>415.9</v>
      </c>
      <c r="G11" s="26">
        <v>616</v>
      </c>
      <c r="H11" s="26">
        <v>665.7</v>
      </c>
      <c r="I11" s="20">
        <f>D11/E11</f>
        <v>86.976331360946745</v>
      </c>
    </row>
    <row r="12" spans="1:9">
      <c r="A12" s="23">
        <v>8</v>
      </c>
      <c r="B12" s="24" t="s">
        <v>111</v>
      </c>
      <c r="C12" s="25" t="s">
        <v>112</v>
      </c>
      <c r="D12" s="14">
        <v>58.122999999999998</v>
      </c>
      <c r="E12" s="13">
        <v>0.56289999999999996</v>
      </c>
      <c r="F12" s="26">
        <v>470.6</v>
      </c>
      <c r="G12" s="26">
        <v>527.9</v>
      </c>
      <c r="H12" s="26">
        <v>734.1</v>
      </c>
      <c r="I12" s="20">
        <f>D12/E12</f>
        <v>103.25635103926098</v>
      </c>
    </row>
    <row r="13" spans="1:9">
      <c r="A13" s="23">
        <v>9</v>
      </c>
      <c r="B13" s="24" t="s">
        <v>113</v>
      </c>
      <c r="C13" s="25" t="s">
        <v>114</v>
      </c>
      <c r="D13" s="14">
        <v>58.122999999999998</v>
      </c>
      <c r="E13" s="13">
        <v>0.58399999999999996</v>
      </c>
      <c r="F13" s="26">
        <v>490.7</v>
      </c>
      <c r="G13" s="26">
        <v>550.6</v>
      </c>
      <c r="H13" s="26">
        <v>765.3</v>
      </c>
      <c r="I13" s="20">
        <f>D13/E13</f>
        <v>99.525684931506845</v>
      </c>
    </row>
    <row r="14" spans="1:9">
      <c r="A14" s="23">
        <v>10</v>
      </c>
      <c r="B14" s="24" t="s">
        <v>115</v>
      </c>
      <c r="C14" s="25" t="s">
        <v>116</v>
      </c>
      <c r="D14" s="14">
        <v>72.150999999999996</v>
      </c>
      <c r="E14" s="13">
        <v>0.59670000000000001</v>
      </c>
      <c r="F14" s="26">
        <v>482.6</v>
      </c>
      <c r="G14" s="26">
        <v>464</v>
      </c>
      <c r="H14" s="26">
        <v>734.6</v>
      </c>
      <c r="I14" s="20">
        <f>D14/E14</f>
        <v>120.91670856376739</v>
      </c>
    </row>
    <row r="15" spans="1:9">
      <c r="A15" s="23">
        <v>11</v>
      </c>
      <c r="B15" s="24" t="s">
        <v>117</v>
      </c>
      <c r="C15" s="25" t="s">
        <v>118</v>
      </c>
      <c r="D15" s="14">
        <v>72.150999999999996</v>
      </c>
      <c r="E15" s="13">
        <v>0.62439999999999996</v>
      </c>
      <c r="F15" s="26">
        <v>541.70000000000005</v>
      </c>
      <c r="G15" s="26">
        <v>490.4</v>
      </c>
      <c r="H15" s="26">
        <v>828.7</v>
      </c>
      <c r="I15" s="20">
        <f>D15/E15</f>
        <v>115.55253042921204</v>
      </c>
    </row>
    <row r="16" spans="1:9">
      <c r="A16" s="23">
        <v>12</v>
      </c>
      <c r="B16" s="24" t="s">
        <v>119</v>
      </c>
      <c r="C16" s="25" t="s">
        <v>120</v>
      </c>
      <c r="D16" s="14">
        <v>72.150999999999996</v>
      </c>
      <c r="E16" s="13">
        <v>0.63109999999999999</v>
      </c>
      <c r="F16" s="26">
        <v>556.6</v>
      </c>
      <c r="G16" s="26">
        <v>488.6</v>
      </c>
      <c r="H16" s="26">
        <v>845.5</v>
      </c>
      <c r="I16" s="20">
        <f>D16/E16</f>
        <v>114.32578038345746</v>
      </c>
    </row>
    <row r="17" spans="1:9">
      <c r="A17" s="23">
        <v>13</v>
      </c>
      <c r="B17" s="24" t="s">
        <v>121</v>
      </c>
      <c r="C17" s="25" t="s">
        <v>122</v>
      </c>
      <c r="D17" s="14">
        <v>86.177000000000007</v>
      </c>
      <c r="E17" s="13">
        <v>0.66400000000000003</v>
      </c>
      <c r="F17" s="26">
        <v>615.4</v>
      </c>
      <c r="G17" s="26">
        <v>436.9</v>
      </c>
      <c r="H17" s="26">
        <v>913.3</v>
      </c>
      <c r="I17" s="20">
        <f>D17/E17</f>
        <v>129.78463855421688</v>
      </c>
    </row>
    <row r="18" spans="1:9">
      <c r="A18" s="23">
        <v>14</v>
      </c>
      <c r="B18" s="24" t="s">
        <v>123</v>
      </c>
      <c r="C18" s="25" t="s">
        <v>124</v>
      </c>
      <c r="D18" s="14">
        <v>84.16</v>
      </c>
      <c r="E18" s="13">
        <v>0.75360000000000005</v>
      </c>
      <c r="F18" s="26">
        <v>621</v>
      </c>
      <c r="G18" s="26">
        <v>548.9</v>
      </c>
      <c r="H18" s="26">
        <v>959.2</v>
      </c>
      <c r="I18" s="20">
        <f>D18/E18</f>
        <v>111.67728237791931</v>
      </c>
    </row>
    <row r="19" spans="1:9">
      <c r="A19" s="23">
        <v>15</v>
      </c>
      <c r="B19" s="24" t="s">
        <v>125</v>
      </c>
      <c r="C19" s="25" t="s">
        <v>125</v>
      </c>
      <c r="D19" s="14">
        <v>78.11</v>
      </c>
      <c r="E19" s="13">
        <v>0.88439999999999996</v>
      </c>
      <c r="F19" s="26">
        <v>636.29999999999995</v>
      </c>
      <c r="G19" s="26">
        <v>710.4</v>
      </c>
      <c r="H19" s="26">
        <v>1012</v>
      </c>
      <c r="I19" s="20">
        <f>D19/E19</f>
        <v>88.319764812302125</v>
      </c>
    </row>
    <row r="20" spans="1:9">
      <c r="A20" s="23">
        <v>16</v>
      </c>
      <c r="B20" s="24" t="s">
        <v>126</v>
      </c>
      <c r="C20" s="25" t="s">
        <v>127</v>
      </c>
      <c r="D20" s="14">
        <v>84.16</v>
      </c>
      <c r="E20" s="13">
        <v>0.78339999999999999</v>
      </c>
      <c r="F20" s="26">
        <v>637.20000000000005</v>
      </c>
      <c r="G20" s="26">
        <v>590.79999999999995</v>
      </c>
      <c r="H20" s="26">
        <v>996.5</v>
      </c>
      <c r="I20" s="20">
        <f>D20/E20</f>
        <v>107.42915496553485</v>
      </c>
    </row>
    <row r="21" spans="1:9">
      <c r="A21" s="23">
        <v>17</v>
      </c>
      <c r="B21" s="24" t="s">
        <v>128</v>
      </c>
      <c r="C21" s="25" t="s">
        <v>129</v>
      </c>
      <c r="D21" s="14">
        <v>100.20399999999999</v>
      </c>
      <c r="E21" s="13">
        <v>0.72199999999999998</v>
      </c>
      <c r="F21" s="26">
        <v>668.8</v>
      </c>
      <c r="G21" s="26">
        <v>396.8</v>
      </c>
      <c r="H21" s="26">
        <v>972.4</v>
      </c>
      <c r="I21" s="20">
        <f>D21/E21</f>
        <v>138.78670360110803</v>
      </c>
    </row>
    <row r="22" spans="1:9">
      <c r="A22" s="23">
        <v>18</v>
      </c>
      <c r="B22" s="24" t="s">
        <v>130</v>
      </c>
      <c r="C22" s="25" t="s">
        <v>131</v>
      </c>
      <c r="D22" s="14">
        <v>98.19</v>
      </c>
      <c r="E22" s="13">
        <v>0.7702</v>
      </c>
      <c r="F22" s="26">
        <v>675</v>
      </c>
      <c r="G22" s="26">
        <v>503.5</v>
      </c>
      <c r="H22" s="26">
        <v>1029.8</v>
      </c>
      <c r="I22" s="20">
        <f>D22/E22</f>
        <v>127.48636717735653</v>
      </c>
    </row>
    <row r="23" spans="1:9">
      <c r="A23" s="23">
        <v>19</v>
      </c>
      <c r="B23" s="24" t="s">
        <v>132</v>
      </c>
      <c r="C23" s="25" t="s">
        <v>132</v>
      </c>
      <c r="D23" s="14">
        <v>92.14</v>
      </c>
      <c r="E23" s="13">
        <v>0.87180000000000002</v>
      </c>
      <c r="F23" s="26">
        <v>690.5</v>
      </c>
      <c r="G23" s="26">
        <v>595.9</v>
      </c>
      <c r="H23" s="26">
        <v>1065.5999999999999</v>
      </c>
      <c r="I23" s="20">
        <f>D23/E23</f>
        <v>105.68937829777472</v>
      </c>
    </row>
    <row r="24" spans="1:9">
      <c r="A24" s="23">
        <v>20</v>
      </c>
      <c r="B24" s="24" t="s">
        <v>133</v>
      </c>
      <c r="C24" s="25" t="s">
        <v>134</v>
      </c>
      <c r="D24" s="14">
        <v>114.23099999999999</v>
      </c>
      <c r="E24" s="13">
        <v>0.745</v>
      </c>
      <c r="F24" s="26">
        <v>717.9</v>
      </c>
      <c r="G24" s="26">
        <v>360.7</v>
      </c>
      <c r="H24" s="26">
        <v>1023.9</v>
      </c>
      <c r="I24" s="20">
        <f>D24/E24</f>
        <v>153.33020134228187</v>
      </c>
    </row>
    <row r="25" spans="1:9">
      <c r="A25" s="23">
        <v>21</v>
      </c>
      <c r="B25" s="24" t="s">
        <v>135</v>
      </c>
      <c r="C25" s="25" t="s">
        <v>136</v>
      </c>
      <c r="D25" s="14">
        <v>106.17</v>
      </c>
      <c r="E25" s="13">
        <v>0.872</v>
      </c>
      <c r="F25" s="26">
        <v>735.5</v>
      </c>
      <c r="G25" s="26">
        <v>523.5</v>
      </c>
      <c r="H25" s="26">
        <v>1111.0999999999999</v>
      </c>
      <c r="I25" s="20">
        <f>D25/E25</f>
        <v>121.75458715596331</v>
      </c>
    </row>
    <row r="26" spans="1:9">
      <c r="A26" s="23">
        <v>22</v>
      </c>
      <c r="B26" s="24" t="s">
        <v>137</v>
      </c>
      <c r="C26" s="25" t="s">
        <v>138</v>
      </c>
      <c r="D26" s="14">
        <v>106.17</v>
      </c>
      <c r="E26" s="13">
        <v>0.86870000000000003</v>
      </c>
      <c r="F26" s="26">
        <v>738.4</v>
      </c>
      <c r="G26" s="26">
        <v>513.6</v>
      </c>
      <c r="H26" s="26">
        <v>1112.8</v>
      </c>
      <c r="I26" s="20">
        <f>D26/E26</f>
        <v>122.21710602049039</v>
      </c>
    </row>
    <row r="27" spans="1:9">
      <c r="A27" s="23">
        <v>23</v>
      </c>
      <c r="B27" s="24" t="s">
        <v>139</v>
      </c>
      <c r="C27" s="25" t="s">
        <v>140</v>
      </c>
      <c r="D27" s="14">
        <v>106.17</v>
      </c>
      <c r="E27" s="13">
        <v>0.88480000000000003</v>
      </c>
      <c r="F27" s="26">
        <v>751.9</v>
      </c>
      <c r="G27" s="26">
        <v>541.4</v>
      </c>
      <c r="H27" s="26">
        <v>1135.4000000000001</v>
      </c>
      <c r="I27" s="20">
        <f>D27/E27</f>
        <v>119.99321880650994</v>
      </c>
    </row>
    <row r="28" spans="1:9">
      <c r="A28" s="23">
        <v>24</v>
      </c>
      <c r="B28" s="24" t="s">
        <v>141</v>
      </c>
      <c r="C28" s="25" t="s">
        <v>142</v>
      </c>
      <c r="D28" s="14">
        <v>128.25800000000001</v>
      </c>
      <c r="E28" s="13">
        <v>0.76400000000000001</v>
      </c>
      <c r="F28" s="26">
        <v>763.1</v>
      </c>
      <c r="G28" s="26">
        <v>331.8</v>
      </c>
      <c r="H28" s="26">
        <v>1070.4000000000001</v>
      </c>
      <c r="I28" s="20">
        <f>D28/E28</f>
        <v>167.87696335078536</v>
      </c>
    </row>
    <row r="29" spans="1:9">
      <c r="A29" s="23">
        <v>25</v>
      </c>
      <c r="B29" s="24" t="s">
        <v>143</v>
      </c>
      <c r="C29" s="25" t="s">
        <v>144</v>
      </c>
      <c r="D29" s="14">
        <v>120.19499999999999</v>
      </c>
      <c r="E29" s="13">
        <v>0.876</v>
      </c>
      <c r="F29" s="26">
        <v>807.5</v>
      </c>
      <c r="G29" s="26">
        <v>495</v>
      </c>
      <c r="H29" s="26">
        <v>1129</v>
      </c>
      <c r="I29" s="20">
        <f>D29/E29</f>
        <v>137.20890410958904</v>
      </c>
    </row>
    <row r="30" spans="1:9">
      <c r="A30" s="23">
        <v>26</v>
      </c>
      <c r="B30" s="24" t="s">
        <v>145</v>
      </c>
      <c r="C30" s="25" t="s">
        <v>146</v>
      </c>
      <c r="D30" s="14">
        <v>142.285</v>
      </c>
      <c r="E30" s="13">
        <v>0.77800000000000002</v>
      </c>
      <c r="F30" s="26">
        <v>805.2</v>
      </c>
      <c r="G30" s="26">
        <v>305.7</v>
      </c>
      <c r="H30" s="26">
        <v>1111.8</v>
      </c>
      <c r="I30" s="20">
        <f>D30/E30</f>
        <v>182.88560411311053</v>
      </c>
    </row>
    <row r="31" spans="1:9">
      <c r="A31" s="23">
        <v>27</v>
      </c>
      <c r="B31" s="24" t="s">
        <v>147</v>
      </c>
      <c r="C31" s="25" t="s">
        <v>148</v>
      </c>
      <c r="D31" s="14">
        <v>156</v>
      </c>
      <c r="E31" s="13">
        <v>0.78900000000000003</v>
      </c>
      <c r="F31" s="26">
        <v>847</v>
      </c>
      <c r="G31" s="26">
        <v>285</v>
      </c>
      <c r="H31" s="26">
        <v>1150</v>
      </c>
      <c r="I31" s="20">
        <f>D31/E31</f>
        <v>197.71863117870723</v>
      </c>
    </row>
    <row r="32" spans="1:9">
      <c r="A32" s="23">
        <v>28</v>
      </c>
      <c r="B32" s="24" t="s">
        <v>149</v>
      </c>
      <c r="C32" s="25" t="s">
        <v>150</v>
      </c>
      <c r="D32" s="14">
        <v>170</v>
      </c>
      <c r="E32" s="13">
        <v>0.8</v>
      </c>
      <c r="F32" s="26">
        <v>885</v>
      </c>
      <c r="G32" s="26">
        <v>264</v>
      </c>
      <c r="H32" s="26">
        <v>1185</v>
      </c>
      <c r="I32" s="20">
        <f>D32/E32</f>
        <v>212.5</v>
      </c>
    </row>
    <row r="33" spans="1:9">
      <c r="A33" s="23">
        <v>29</v>
      </c>
      <c r="B33" s="24" t="s">
        <v>151</v>
      </c>
      <c r="C33" s="25" t="s">
        <v>152</v>
      </c>
      <c r="D33" s="14">
        <v>184</v>
      </c>
      <c r="E33" s="13">
        <v>0.81100000000000005</v>
      </c>
      <c r="F33" s="26">
        <v>923</v>
      </c>
      <c r="G33" s="26">
        <v>246</v>
      </c>
      <c r="H33" s="26">
        <v>1220</v>
      </c>
      <c r="I33" s="20">
        <f>D33/E33</f>
        <v>226.88039457459925</v>
      </c>
    </row>
    <row r="34" spans="1:9">
      <c r="A34" s="23">
        <v>30</v>
      </c>
      <c r="B34" s="24" t="s">
        <v>153</v>
      </c>
      <c r="C34" s="25" t="s">
        <v>154</v>
      </c>
      <c r="D34" s="14">
        <v>198</v>
      </c>
      <c r="E34" s="13">
        <v>0.82199999999999995</v>
      </c>
      <c r="F34" s="26">
        <v>958</v>
      </c>
      <c r="G34" s="26">
        <v>230</v>
      </c>
      <c r="H34" s="26">
        <v>1250</v>
      </c>
      <c r="I34" s="20">
        <f>D34/E34</f>
        <v>240.87591240875915</v>
      </c>
    </row>
    <row r="35" spans="1:9">
      <c r="A35" s="23">
        <v>31</v>
      </c>
      <c r="B35" s="24" t="s">
        <v>155</v>
      </c>
      <c r="C35" s="25" t="s">
        <v>156</v>
      </c>
      <c r="D35" s="14">
        <v>212</v>
      </c>
      <c r="E35" s="13">
        <v>0.83199999999999996</v>
      </c>
      <c r="F35" s="26">
        <v>991</v>
      </c>
      <c r="G35" s="26">
        <v>217</v>
      </c>
      <c r="H35" s="26">
        <v>1280</v>
      </c>
      <c r="I35" s="20">
        <f>D35/E35</f>
        <v>254.80769230769232</v>
      </c>
    </row>
    <row r="36" spans="1:9">
      <c r="A36" s="23">
        <v>32</v>
      </c>
      <c r="B36" s="24" t="s">
        <v>157</v>
      </c>
      <c r="C36" s="25" t="s">
        <v>158</v>
      </c>
      <c r="D36" s="14">
        <v>226</v>
      </c>
      <c r="E36" s="13">
        <v>0.83899999999999997</v>
      </c>
      <c r="F36" s="26">
        <v>1020</v>
      </c>
      <c r="G36" s="26">
        <v>205</v>
      </c>
      <c r="H36" s="26">
        <v>1305</v>
      </c>
      <c r="I36" s="20">
        <f>D36/E36</f>
        <v>269.36829558998807</v>
      </c>
    </row>
    <row r="37" spans="1:9">
      <c r="A37" s="23">
        <v>33</v>
      </c>
      <c r="B37" s="24" t="s">
        <v>159</v>
      </c>
      <c r="C37" s="25" t="s">
        <v>160</v>
      </c>
      <c r="D37" s="14">
        <v>240</v>
      </c>
      <c r="E37" s="13">
        <v>0.84699999999999998</v>
      </c>
      <c r="F37" s="26">
        <v>1049</v>
      </c>
      <c r="G37" s="26">
        <v>193</v>
      </c>
      <c r="H37" s="26">
        <v>1332</v>
      </c>
      <c r="I37" s="20">
        <f>D37/E37</f>
        <v>283.35301062573791</v>
      </c>
    </row>
    <row r="38" spans="1:9">
      <c r="A38" s="23">
        <v>34</v>
      </c>
      <c r="B38" s="24" t="s">
        <v>161</v>
      </c>
      <c r="C38" s="25" t="s">
        <v>162</v>
      </c>
      <c r="D38" s="14">
        <v>254</v>
      </c>
      <c r="E38" s="13">
        <v>0.85199999999999998</v>
      </c>
      <c r="F38" s="26">
        <v>1075</v>
      </c>
      <c r="G38" s="26">
        <v>186</v>
      </c>
      <c r="H38" s="26">
        <v>1354</v>
      </c>
      <c r="I38" s="20">
        <f>D38/E38</f>
        <v>298.12206572769952</v>
      </c>
    </row>
    <row r="39" spans="1:9">
      <c r="A39" s="23">
        <v>35</v>
      </c>
      <c r="B39" s="24" t="s">
        <v>163</v>
      </c>
      <c r="C39" s="25" t="s">
        <v>164</v>
      </c>
      <c r="D39" s="14">
        <v>268</v>
      </c>
      <c r="E39" s="13">
        <v>0.85699999999999998</v>
      </c>
      <c r="F39" s="26">
        <v>1101</v>
      </c>
      <c r="G39" s="26">
        <v>175</v>
      </c>
      <c r="H39" s="26">
        <v>1381</v>
      </c>
      <c r="I39" s="20">
        <f>D39/E39</f>
        <v>312.71878646441075</v>
      </c>
    </row>
    <row r="40" spans="1:9">
      <c r="A40" s="23">
        <v>36</v>
      </c>
      <c r="B40" s="24" t="s">
        <v>165</v>
      </c>
      <c r="C40" s="25" t="s">
        <v>166</v>
      </c>
      <c r="D40" s="14">
        <v>282</v>
      </c>
      <c r="E40" s="13">
        <v>0.86199999999999999</v>
      </c>
      <c r="F40" s="26">
        <v>1124</v>
      </c>
      <c r="G40" s="26">
        <v>167</v>
      </c>
      <c r="H40" s="26">
        <v>1402</v>
      </c>
      <c r="I40" s="20">
        <f>D40/E40</f>
        <v>327.14617169373548</v>
      </c>
    </row>
    <row r="41" spans="1:9">
      <c r="A41" s="23">
        <v>37</v>
      </c>
      <c r="B41" s="24" t="s">
        <v>167</v>
      </c>
      <c r="C41" s="25" t="s">
        <v>168</v>
      </c>
      <c r="D41" s="14">
        <v>296</v>
      </c>
      <c r="E41" s="13">
        <v>0.86699999999999999</v>
      </c>
      <c r="F41" s="26">
        <v>1146</v>
      </c>
      <c r="G41" s="26">
        <v>159</v>
      </c>
      <c r="H41" s="26">
        <v>1424</v>
      </c>
      <c r="I41" s="20">
        <f>D41/E41</f>
        <v>341.40715109573239</v>
      </c>
    </row>
    <row r="42" spans="1:9">
      <c r="A42" s="23">
        <v>38</v>
      </c>
      <c r="B42" s="24" t="s">
        <v>169</v>
      </c>
      <c r="C42" s="25" t="s">
        <v>170</v>
      </c>
      <c r="D42" s="14">
        <v>310</v>
      </c>
      <c r="E42" s="13">
        <v>0.872</v>
      </c>
      <c r="F42" s="26">
        <v>1167</v>
      </c>
      <c r="G42" s="26">
        <v>152</v>
      </c>
      <c r="H42" s="26">
        <v>1442</v>
      </c>
      <c r="I42" s="20">
        <f>D42/E42</f>
        <v>355.50458715596329</v>
      </c>
    </row>
    <row r="43" spans="1:9">
      <c r="A43" s="23">
        <v>39</v>
      </c>
      <c r="B43" s="24" t="s">
        <v>171</v>
      </c>
      <c r="C43" s="25" t="s">
        <v>172</v>
      </c>
      <c r="D43" s="14">
        <v>324</v>
      </c>
      <c r="E43" s="13">
        <v>0.877</v>
      </c>
      <c r="F43" s="26">
        <v>1187</v>
      </c>
      <c r="G43" s="26">
        <v>146</v>
      </c>
      <c r="H43" s="26">
        <v>1460</v>
      </c>
      <c r="I43" s="20">
        <f>D43/E43</f>
        <v>369.44127708095783</v>
      </c>
    </row>
    <row r="44" spans="1:9">
      <c r="A44" s="23">
        <v>40</v>
      </c>
      <c r="B44" s="24" t="s">
        <v>173</v>
      </c>
      <c r="C44" s="25" t="s">
        <v>174</v>
      </c>
      <c r="D44" s="14">
        <v>338</v>
      </c>
      <c r="E44" s="13">
        <v>0.88100000000000001</v>
      </c>
      <c r="F44" s="26">
        <v>1207</v>
      </c>
      <c r="G44" s="26">
        <v>140</v>
      </c>
      <c r="H44" s="26">
        <v>1478</v>
      </c>
      <c r="I44" s="20">
        <f>D44/E44</f>
        <v>383.65493757094208</v>
      </c>
    </row>
    <row r="45" spans="1:9">
      <c r="A45" s="23">
        <v>41</v>
      </c>
      <c r="B45" s="24" t="s">
        <v>175</v>
      </c>
      <c r="C45" s="25" t="s">
        <v>176</v>
      </c>
      <c r="D45" s="14">
        <v>352</v>
      </c>
      <c r="E45" s="13">
        <v>0.88500000000000001</v>
      </c>
      <c r="F45" s="26">
        <v>1226</v>
      </c>
      <c r="G45" s="26">
        <v>134</v>
      </c>
      <c r="H45" s="26">
        <v>1494</v>
      </c>
      <c r="I45" s="20">
        <f>D45/E45</f>
        <v>397.74011299435028</v>
      </c>
    </row>
    <row r="46" spans="1:9">
      <c r="A46" s="23">
        <v>42</v>
      </c>
      <c r="B46" s="24" t="s">
        <v>177</v>
      </c>
      <c r="C46" s="25" t="s">
        <v>178</v>
      </c>
      <c r="D46" s="14">
        <v>366</v>
      </c>
      <c r="E46" s="13">
        <v>0.88900000000000001</v>
      </c>
      <c r="F46" s="26">
        <v>1244</v>
      </c>
      <c r="G46" s="26">
        <v>129</v>
      </c>
      <c r="H46" s="26">
        <v>1509</v>
      </c>
      <c r="I46" s="20">
        <f>D46/E46</f>
        <v>411.69853768278966</v>
      </c>
    </row>
    <row r="47" spans="1:9">
      <c r="A47" s="23">
        <v>43</v>
      </c>
      <c r="B47" s="24" t="s">
        <v>179</v>
      </c>
      <c r="C47" s="25" t="s">
        <v>180</v>
      </c>
      <c r="D47" s="14">
        <v>380</v>
      </c>
      <c r="E47" s="13">
        <v>0.89300000000000002</v>
      </c>
      <c r="F47" s="26">
        <v>1262</v>
      </c>
      <c r="G47" s="26">
        <v>125</v>
      </c>
      <c r="H47" s="26">
        <v>1523</v>
      </c>
      <c r="I47" s="20">
        <f>D47/E47</f>
        <v>425.531914893617</v>
      </c>
    </row>
    <row r="48" spans="1:9">
      <c r="A48" s="23">
        <v>44</v>
      </c>
      <c r="B48" s="24" t="s">
        <v>181</v>
      </c>
      <c r="C48" s="25" t="s">
        <v>182</v>
      </c>
      <c r="D48" s="14">
        <v>394</v>
      </c>
      <c r="E48" s="13">
        <v>0.89600000000000002</v>
      </c>
      <c r="F48" s="26">
        <v>1277</v>
      </c>
      <c r="G48" s="26">
        <v>120</v>
      </c>
      <c r="H48" s="26">
        <v>1537</v>
      </c>
      <c r="I48" s="20">
        <f>D48/E48</f>
        <v>439.73214285714283</v>
      </c>
    </row>
    <row r="49" spans="1:9">
      <c r="A49" s="23">
        <v>45</v>
      </c>
      <c r="B49" s="24" t="s">
        <v>183</v>
      </c>
      <c r="C49" s="25" t="s">
        <v>184</v>
      </c>
      <c r="D49" s="14">
        <v>408</v>
      </c>
      <c r="E49" s="13">
        <v>0.89900000000000002</v>
      </c>
      <c r="F49" s="26">
        <v>1294</v>
      </c>
      <c r="G49" s="26">
        <v>116</v>
      </c>
      <c r="H49" s="26">
        <v>1550</v>
      </c>
      <c r="I49" s="20">
        <f>D49/E49</f>
        <v>453.83759733036709</v>
      </c>
    </row>
    <row r="50" spans="1:9">
      <c r="A50" s="23">
        <v>46</v>
      </c>
      <c r="B50" s="24" t="s">
        <v>185</v>
      </c>
      <c r="C50" s="25" t="s">
        <v>186</v>
      </c>
      <c r="D50" s="14">
        <v>422</v>
      </c>
      <c r="E50" s="13">
        <v>0.90200000000000002</v>
      </c>
      <c r="F50" s="26">
        <v>1310</v>
      </c>
      <c r="G50" s="26">
        <v>112</v>
      </c>
      <c r="H50" s="26">
        <v>1563</v>
      </c>
      <c r="I50" s="20">
        <f>D50/E50</f>
        <v>467.84922394678489</v>
      </c>
    </row>
    <row r="51" spans="1:9">
      <c r="A51" s="23">
        <v>47</v>
      </c>
      <c r="B51" s="24" t="s">
        <v>187</v>
      </c>
      <c r="C51" s="25" t="s">
        <v>188</v>
      </c>
      <c r="D51" s="14">
        <v>436</v>
      </c>
      <c r="E51" s="13">
        <v>0.90600000000000003</v>
      </c>
      <c r="F51" s="26">
        <v>1323</v>
      </c>
      <c r="G51" s="26">
        <v>108</v>
      </c>
      <c r="H51" s="26">
        <v>1574</v>
      </c>
      <c r="I51" s="20">
        <f>D51/E51</f>
        <v>481.23620309050773</v>
      </c>
    </row>
    <row r="52" spans="1:9">
      <c r="A52" s="23">
        <v>48</v>
      </c>
      <c r="B52" s="24" t="s">
        <v>189</v>
      </c>
      <c r="C52" s="25" t="s">
        <v>190</v>
      </c>
      <c r="D52" s="14">
        <v>450</v>
      </c>
      <c r="E52" s="13">
        <v>0.90900000000000003</v>
      </c>
      <c r="F52" s="26">
        <v>1335</v>
      </c>
      <c r="G52" s="26">
        <v>104</v>
      </c>
      <c r="H52" s="26">
        <v>1584</v>
      </c>
      <c r="I52" s="20">
        <f>D52/E52</f>
        <v>495.04950495049502</v>
      </c>
    </row>
    <row r="53" spans="1:9">
      <c r="A53" s="23">
        <v>49</v>
      </c>
      <c r="B53" s="24" t="s">
        <v>191</v>
      </c>
      <c r="C53" s="25" t="s">
        <v>192</v>
      </c>
      <c r="D53" s="14">
        <v>464</v>
      </c>
      <c r="E53" s="13">
        <v>0.91200000000000003</v>
      </c>
      <c r="F53" s="26">
        <v>1349</v>
      </c>
      <c r="G53" s="26">
        <v>101</v>
      </c>
      <c r="H53" s="26">
        <v>1594</v>
      </c>
      <c r="I53" s="20">
        <f>D53/E53</f>
        <v>508.77192982456137</v>
      </c>
    </row>
    <row r="54" spans="1:9">
      <c r="A54" s="23">
        <v>50</v>
      </c>
      <c r="B54" s="24" t="s">
        <v>193</v>
      </c>
      <c r="C54" s="25" t="s">
        <v>194</v>
      </c>
      <c r="D54" s="14">
        <v>478</v>
      </c>
      <c r="E54" s="13">
        <v>0.91500000000000004</v>
      </c>
      <c r="F54" s="26">
        <v>1360</v>
      </c>
      <c r="G54" s="26">
        <v>98</v>
      </c>
      <c r="H54" s="26">
        <v>1603</v>
      </c>
      <c r="I54" s="20">
        <f>D54/E54</f>
        <v>522.40437158469945</v>
      </c>
    </row>
    <row r="55" spans="1:9">
      <c r="A55" s="23">
        <v>51</v>
      </c>
      <c r="B55" s="24" t="s">
        <v>195</v>
      </c>
      <c r="C55" s="25" t="s">
        <v>196</v>
      </c>
      <c r="D55" s="14">
        <v>492</v>
      </c>
      <c r="E55" s="13">
        <v>0.91700000000000004</v>
      </c>
      <c r="F55" s="26">
        <v>1373</v>
      </c>
      <c r="G55" s="26">
        <v>95</v>
      </c>
      <c r="H55" s="26">
        <v>1612</v>
      </c>
      <c r="I55" s="20">
        <f>D55/E55</f>
        <v>536.53217011995639</v>
      </c>
    </row>
    <row r="56" spans="1:9">
      <c r="A56" s="23">
        <v>52</v>
      </c>
      <c r="B56" s="24" t="s">
        <v>197</v>
      </c>
      <c r="C56" s="25" t="s">
        <v>198</v>
      </c>
      <c r="D56" s="5">
        <v>636.4</v>
      </c>
      <c r="E56" s="13">
        <v>0.94</v>
      </c>
      <c r="F56" s="26">
        <v>1490</v>
      </c>
      <c r="G56" s="26">
        <v>80</v>
      </c>
      <c r="H56" s="26">
        <v>1700</v>
      </c>
      <c r="I56" s="20">
        <f>D56/E56</f>
        <v>677.02127659574467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8"/>
  <sheetViews>
    <sheetView workbookViewId="0">
      <pane xSplit="5" ySplit="7" topLeftCell="F8" activePane="bottomRight" state="frozen"/>
      <selection pane="bottomRight"/>
      <selection pane="bottomLeft"/>
      <selection pane="topRight"/>
    </sheetView>
  </sheetViews>
  <sheetFormatPr defaultRowHeight="15"/>
  <cols>
    <col min="1" max="1" width="6" customWidth="1"/>
    <col min="2" max="2" width="13" customWidth="1"/>
    <col min="3" max="3" width="22" customWidth="1"/>
    <col min="4" max="4" width="10" customWidth="1"/>
    <col min="5" max="25" width="11" customWidth="1"/>
  </cols>
  <sheetData>
    <row r="1" spans="1:25" ht="26.1" customHeight="1">
      <c r="A1" s="44" t="s">
        <v>199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15" customHeight="1">
      <c r="A2" s="42" t="s">
        <v>200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4" spans="1:25" ht="21.95" customHeight="1">
      <c r="A4" s="43" t="s">
        <v>201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5" ht="21.95" customHeight="1">
      <c r="A5" s="52" t="s">
        <v>202</v>
      </c>
      <c r="B5" s="57"/>
      <c r="C5" s="57"/>
      <c r="D5" s="57"/>
      <c r="E5" s="57"/>
      <c r="F5" s="48" t="s">
        <v>203</v>
      </c>
      <c r="G5" s="57"/>
      <c r="H5" s="48" t="s">
        <v>204</v>
      </c>
      <c r="I5" s="57"/>
      <c r="J5" s="48" t="s">
        <v>205</v>
      </c>
      <c r="K5" s="57"/>
      <c r="L5" s="48" t="s">
        <v>206</v>
      </c>
      <c r="M5" s="57"/>
      <c r="N5" s="48" t="s">
        <v>207</v>
      </c>
      <c r="O5" s="57"/>
      <c r="P5" s="48" t="s">
        <v>208</v>
      </c>
      <c r="Q5" s="57"/>
      <c r="R5" s="48" t="s">
        <v>209</v>
      </c>
      <c r="S5" s="57"/>
      <c r="T5" s="48" t="s">
        <v>210</v>
      </c>
      <c r="U5" s="57"/>
      <c r="V5" s="48" t="s">
        <v>211</v>
      </c>
      <c r="W5" s="57"/>
      <c r="X5" s="48" t="s">
        <v>212</v>
      </c>
      <c r="Y5" s="57"/>
    </row>
    <row r="6" spans="1:25" ht="20.100000000000001" customHeight="1">
      <c r="A6" s="52" t="s">
        <v>213</v>
      </c>
      <c r="B6" s="57"/>
      <c r="C6" s="57"/>
      <c r="D6" s="57"/>
      <c r="E6" s="57"/>
      <c r="F6" s="50">
        <f>Sample_Info!B13</f>
        <v>1156</v>
      </c>
      <c r="G6" s="57"/>
      <c r="H6" s="50">
        <f>DV_Input!B24</f>
        <v>0</v>
      </c>
      <c r="I6" s="57"/>
      <c r="J6" s="50">
        <f>DV_Input!B25</f>
        <v>0</v>
      </c>
      <c r="K6" s="57"/>
      <c r="L6" s="50">
        <f>DV_Input!B26</f>
        <v>0</v>
      </c>
      <c r="M6" s="57"/>
      <c r="N6" s="50">
        <f>DV_Input!B27</f>
        <v>0</v>
      </c>
      <c r="O6" s="57"/>
      <c r="P6" s="50">
        <f>DV_Input!B28</f>
        <v>0</v>
      </c>
      <c r="Q6" s="57"/>
      <c r="R6" s="50">
        <f>DV_Input!B29</f>
        <v>0</v>
      </c>
      <c r="S6" s="57"/>
      <c r="T6" s="50">
        <f>DV_Input!B30</f>
        <v>0</v>
      </c>
      <c r="U6" s="57"/>
      <c r="V6" s="50">
        <f>DV_Input!B31</f>
        <v>0</v>
      </c>
      <c r="W6" s="57"/>
      <c r="X6" s="50">
        <v>14.73</v>
      </c>
      <c r="Y6" s="57"/>
    </row>
    <row r="7" spans="1:25" ht="26.1" customHeight="1">
      <c r="A7" s="16" t="s">
        <v>88</v>
      </c>
      <c r="B7" s="16" t="s">
        <v>89</v>
      </c>
      <c r="C7" s="16" t="s">
        <v>214</v>
      </c>
      <c r="D7" s="16" t="s">
        <v>215</v>
      </c>
      <c r="E7" s="16" t="s">
        <v>216</v>
      </c>
      <c r="F7" s="16" t="s">
        <v>217</v>
      </c>
      <c r="G7" s="16" t="s">
        <v>218</v>
      </c>
      <c r="H7" s="16" t="s">
        <v>217</v>
      </c>
      <c r="I7" s="16" t="s">
        <v>218</v>
      </c>
      <c r="J7" s="16" t="s">
        <v>217</v>
      </c>
      <c r="K7" s="16" t="s">
        <v>218</v>
      </c>
      <c r="L7" s="16" t="s">
        <v>217</v>
      </c>
      <c r="M7" s="16" t="s">
        <v>218</v>
      </c>
      <c r="N7" s="16" t="s">
        <v>217</v>
      </c>
      <c r="O7" s="16" t="s">
        <v>218</v>
      </c>
      <c r="P7" s="16" t="s">
        <v>217</v>
      </c>
      <c r="Q7" s="16" t="s">
        <v>218</v>
      </c>
      <c r="R7" s="16" t="s">
        <v>217</v>
      </c>
      <c r="S7" s="16" t="s">
        <v>218</v>
      </c>
      <c r="T7" s="16" t="s">
        <v>217</v>
      </c>
      <c r="U7" s="16" t="s">
        <v>218</v>
      </c>
      <c r="V7" s="16" t="s">
        <v>217</v>
      </c>
      <c r="W7" s="16" t="s">
        <v>218</v>
      </c>
      <c r="X7" s="16" t="s">
        <v>217</v>
      </c>
      <c r="Y7" s="16" t="s">
        <v>218</v>
      </c>
    </row>
    <row r="8" spans="1:25">
      <c r="A8" s="23">
        <v>1</v>
      </c>
      <c r="B8" s="24" t="s">
        <v>97</v>
      </c>
      <c r="C8" s="25" t="s">
        <v>98</v>
      </c>
      <c r="D8" s="27">
        <f>Component_Properties!D5</f>
        <v>2.016</v>
      </c>
      <c r="E8" s="7">
        <f>Component_Properties!E5</f>
        <v>7.1099999999999997E-2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1:25">
      <c r="A9" s="23">
        <v>2</v>
      </c>
      <c r="B9" s="24" t="s">
        <v>99</v>
      </c>
      <c r="C9" s="25" t="s">
        <v>100</v>
      </c>
      <c r="D9" s="27">
        <f>Component_Properties!D6</f>
        <v>34.0809</v>
      </c>
      <c r="E9" s="7">
        <f>Component_Properties!E6</f>
        <v>0.80059999999999998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1:25">
      <c r="A10" s="23">
        <v>3</v>
      </c>
      <c r="B10" s="24" t="s">
        <v>101</v>
      </c>
      <c r="C10" s="25" t="s">
        <v>102</v>
      </c>
      <c r="D10" s="27">
        <f>Component_Properties!D7</f>
        <v>44.009500000000003</v>
      </c>
      <c r="E10" s="7">
        <f>Component_Properties!E7</f>
        <v>0.81799999999999995</v>
      </c>
      <c r="F10" s="4">
        <v>0</v>
      </c>
      <c r="G10" s="4">
        <v>0</v>
      </c>
      <c r="H10" s="4">
        <v>4.0599999999999996</v>
      </c>
      <c r="I10" s="4">
        <v>0</v>
      </c>
      <c r="J10" s="4">
        <v>4.2300000000000004</v>
      </c>
      <c r="K10" s="4">
        <v>0</v>
      </c>
      <c r="L10" s="4">
        <v>4.4800000000000004</v>
      </c>
      <c r="M10" s="4">
        <v>0</v>
      </c>
      <c r="N10" s="4">
        <v>4.68</v>
      </c>
      <c r="O10" s="4">
        <v>0</v>
      </c>
      <c r="P10" s="4">
        <v>4.17</v>
      </c>
      <c r="Q10" s="4">
        <v>0</v>
      </c>
      <c r="R10" s="4">
        <v>1.054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1:25">
      <c r="A11" s="23">
        <v>4</v>
      </c>
      <c r="B11" s="24" t="s">
        <v>103</v>
      </c>
      <c r="C11" s="25" t="s">
        <v>104</v>
      </c>
      <c r="D11" s="27">
        <f>Component_Properties!D8</f>
        <v>28.013400000000001</v>
      </c>
      <c r="E11" s="7">
        <f>Component_Properties!E8</f>
        <v>0.80940000000000001</v>
      </c>
      <c r="F11" s="4">
        <v>0</v>
      </c>
      <c r="G11" s="4">
        <v>0</v>
      </c>
      <c r="H11" s="4">
        <v>1.6</v>
      </c>
      <c r="I11" s="4">
        <v>0</v>
      </c>
      <c r="J11" s="4">
        <v>1.18</v>
      </c>
      <c r="K11" s="4">
        <v>0</v>
      </c>
      <c r="L11" s="4">
        <v>0.76</v>
      </c>
      <c r="M11" s="4">
        <v>0</v>
      </c>
      <c r="N11" s="4">
        <v>0.41</v>
      </c>
      <c r="O11" s="4">
        <v>0</v>
      </c>
      <c r="P11" s="4">
        <v>0.1</v>
      </c>
      <c r="Q11" s="4">
        <v>0</v>
      </c>
      <c r="R11" s="4">
        <v>6.0000000000000001E-3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>
      <c r="A12" s="23">
        <v>5</v>
      </c>
      <c r="B12" s="24" t="s">
        <v>105</v>
      </c>
      <c r="C12" s="25" t="s">
        <v>106</v>
      </c>
      <c r="D12" s="27">
        <f>Component_Properties!D9</f>
        <v>16.042999999999999</v>
      </c>
      <c r="E12" s="7">
        <f>Component_Properties!E9</f>
        <v>0.3</v>
      </c>
      <c r="F12" s="4">
        <v>0</v>
      </c>
      <c r="G12" s="4">
        <v>0</v>
      </c>
      <c r="H12" s="4">
        <v>69.09</v>
      </c>
      <c r="I12" s="4">
        <v>0</v>
      </c>
      <c r="J12" s="4">
        <v>66.36</v>
      </c>
      <c r="K12" s="4">
        <v>0</v>
      </c>
      <c r="L12" s="4">
        <v>61.77</v>
      </c>
      <c r="M12" s="4">
        <v>0</v>
      </c>
      <c r="N12" s="4">
        <v>53.03</v>
      </c>
      <c r="O12" s="4">
        <v>0</v>
      </c>
      <c r="P12" s="4">
        <v>34.22</v>
      </c>
      <c r="Q12" s="4">
        <v>0</v>
      </c>
      <c r="R12" s="4">
        <v>5.4960000000000004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>
      <c r="A13" s="23">
        <v>6</v>
      </c>
      <c r="B13" s="24" t="s">
        <v>107</v>
      </c>
      <c r="C13" s="25" t="s">
        <v>108</v>
      </c>
      <c r="D13" s="27">
        <f>Component_Properties!D10</f>
        <v>30.07</v>
      </c>
      <c r="E13" s="7">
        <f>Component_Properties!E10</f>
        <v>0.35620000000000002</v>
      </c>
      <c r="F13" s="4">
        <v>0</v>
      </c>
      <c r="G13" s="4">
        <v>0</v>
      </c>
      <c r="H13" s="4">
        <v>9.7100000000000009</v>
      </c>
      <c r="I13" s="4">
        <v>0</v>
      </c>
      <c r="J13" s="4">
        <v>10.68</v>
      </c>
      <c r="K13" s="4">
        <v>0</v>
      </c>
      <c r="L13" s="4">
        <v>12.2</v>
      </c>
      <c r="M13" s="4">
        <v>0</v>
      </c>
      <c r="N13" s="4">
        <v>14.48</v>
      </c>
      <c r="O13" s="4">
        <v>0</v>
      </c>
      <c r="P13" s="4">
        <v>17.02</v>
      </c>
      <c r="Q13" s="4">
        <v>0</v>
      </c>
      <c r="R13" s="4">
        <v>7.3879999999999999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0.01</v>
      </c>
      <c r="Y13" s="4">
        <v>0</v>
      </c>
    </row>
    <row r="14" spans="1:25">
      <c r="A14" s="23">
        <v>7</v>
      </c>
      <c r="B14" s="24" t="s">
        <v>109</v>
      </c>
      <c r="C14" s="25" t="s">
        <v>110</v>
      </c>
      <c r="D14" s="27">
        <f>Component_Properties!D11</f>
        <v>44.097000000000001</v>
      </c>
      <c r="E14" s="7">
        <f>Component_Properties!E11</f>
        <v>0.50700000000000001</v>
      </c>
      <c r="F14" s="4">
        <v>0</v>
      </c>
      <c r="G14" s="4">
        <v>0</v>
      </c>
      <c r="H14" s="4">
        <v>6.71</v>
      </c>
      <c r="I14" s="4">
        <v>0</v>
      </c>
      <c r="J14" s="4">
        <v>7.54</v>
      </c>
      <c r="K14" s="4">
        <v>0</v>
      </c>
      <c r="L14" s="4">
        <v>9.02</v>
      </c>
      <c r="M14" s="4">
        <v>0</v>
      </c>
      <c r="N14" s="4">
        <v>11.73</v>
      </c>
      <c r="O14" s="4">
        <v>0</v>
      </c>
      <c r="P14" s="4">
        <v>17.329999999999998</v>
      </c>
      <c r="Q14" s="4">
        <v>0</v>
      </c>
      <c r="R14" s="4">
        <v>14.762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7.0000000000000007E-2</v>
      </c>
      <c r="Y14" s="4">
        <v>0.02</v>
      </c>
    </row>
    <row r="15" spans="1:25">
      <c r="A15" s="23">
        <v>8</v>
      </c>
      <c r="B15" s="24" t="s">
        <v>111</v>
      </c>
      <c r="C15" s="25" t="s">
        <v>112</v>
      </c>
      <c r="D15" s="27">
        <f>Component_Properties!D12</f>
        <v>58.122999999999998</v>
      </c>
      <c r="E15" s="7">
        <f>Component_Properties!E12</f>
        <v>0.56289999999999996</v>
      </c>
      <c r="F15" s="4">
        <v>0</v>
      </c>
      <c r="G15" s="4">
        <v>0</v>
      </c>
      <c r="H15" s="4">
        <v>1.38</v>
      </c>
      <c r="I15" s="4">
        <v>0</v>
      </c>
      <c r="J15" s="4">
        <v>1.57</v>
      </c>
      <c r="K15" s="4">
        <v>0</v>
      </c>
      <c r="L15" s="4">
        <v>1.89</v>
      </c>
      <c r="M15" s="4">
        <v>0</v>
      </c>
      <c r="N15" s="4">
        <v>2.52</v>
      </c>
      <c r="O15" s="4">
        <v>0</v>
      </c>
      <c r="P15" s="4">
        <v>4.08</v>
      </c>
      <c r="Q15" s="4">
        <v>0</v>
      </c>
      <c r="R15" s="4">
        <v>5.4539999999999997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0.1</v>
      </c>
      <c r="Y15" s="4">
        <v>0.03</v>
      </c>
    </row>
    <row r="16" spans="1:25">
      <c r="A16" s="23">
        <v>9</v>
      </c>
      <c r="B16" s="24" t="s">
        <v>113</v>
      </c>
      <c r="C16" s="25" t="s">
        <v>114</v>
      </c>
      <c r="D16" s="27">
        <f>Component_Properties!D13</f>
        <v>58.122999999999998</v>
      </c>
      <c r="E16" s="7">
        <f>Component_Properties!E13</f>
        <v>0.58399999999999996</v>
      </c>
      <c r="F16" s="4">
        <v>0</v>
      </c>
      <c r="G16" s="4">
        <v>0</v>
      </c>
      <c r="H16" s="4">
        <v>2.82</v>
      </c>
      <c r="I16" s="4">
        <v>0</v>
      </c>
      <c r="J16" s="4">
        <v>3.19</v>
      </c>
      <c r="K16" s="4">
        <v>0</v>
      </c>
      <c r="L16" s="4">
        <v>3.85</v>
      </c>
      <c r="M16" s="4">
        <v>0</v>
      </c>
      <c r="N16" s="4">
        <v>5.18</v>
      </c>
      <c r="O16" s="4">
        <v>0</v>
      </c>
      <c r="P16" s="4">
        <v>8.6999999999999993</v>
      </c>
      <c r="Q16" s="4">
        <v>0</v>
      </c>
      <c r="R16" s="4">
        <v>14.247999999999999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0.45</v>
      </c>
      <c r="Y16" s="4">
        <v>0.12</v>
      </c>
    </row>
    <row r="17" spans="1:25">
      <c r="A17" s="23">
        <v>10</v>
      </c>
      <c r="B17" s="24" t="s">
        <v>115</v>
      </c>
      <c r="C17" s="25" t="s">
        <v>116</v>
      </c>
      <c r="D17" s="27">
        <f>Component_Properties!D14</f>
        <v>72.150999999999996</v>
      </c>
      <c r="E17" s="7">
        <f>Component_Properties!E14</f>
        <v>0.59670000000000001</v>
      </c>
      <c r="F17" s="4">
        <v>0</v>
      </c>
      <c r="G17" s="4">
        <v>0</v>
      </c>
      <c r="H17" s="4">
        <v>0.01</v>
      </c>
      <c r="I17" s="4">
        <v>0</v>
      </c>
      <c r="J17" s="4">
        <v>0.01</v>
      </c>
      <c r="K17" s="4">
        <v>0</v>
      </c>
      <c r="L17" s="4">
        <v>0.02</v>
      </c>
      <c r="M17" s="4">
        <v>0</v>
      </c>
      <c r="N17" s="4">
        <v>0.02</v>
      </c>
      <c r="O17" s="4">
        <v>0</v>
      </c>
      <c r="P17" s="4">
        <v>0.04</v>
      </c>
      <c r="Q17" s="4">
        <v>0</v>
      </c>
      <c r="R17" s="4">
        <v>6.6000000000000003E-2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1:25">
      <c r="A18" s="23">
        <v>11</v>
      </c>
      <c r="B18" s="24" t="s">
        <v>117</v>
      </c>
      <c r="C18" s="25" t="s">
        <v>118</v>
      </c>
      <c r="D18" s="27">
        <f>Component_Properties!D15</f>
        <v>72.150999999999996</v>
      </c>
      <c r="E18" s="7">
        <f>Component_Properties!E15</f>
        <v>0.62439999999999996</v>
      </c>
      <c r="F18" s="4">
        <v>0</v>
      </c>
      <c r="G18" s="4">
        <v>0</v>
      </c>
      <c r="H18" s="4">
        <v>0.98</v>
      </c>
      <c r="I18" s="4">
        <v>0</v>
      </c>
      <c r="J18" s="4">
        <v>1.1200000000000001</v>
      </c>
      <c r="K18" s="4">
        <v>0</v>
      </c>
      <c r="L18" s="4">
        <v>1.31</v>
      </c>
      <c r="M18" s="4">
        <v>0</v>
      </c>
      <c r="N18" s="4">
        <v>1.81</v>
      </c>
      <c r="O18" s="4">
        <v>0</v>
      </c>
      <c r="P18" s="4">
        <v>3.3</v>
      </c>
      <c r="Q18" s="4">
        <v>0</v>
      </c>
      <c r="R18" s="4">
        <v>9.3480000000000008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0.44</v>
      </c>
      <c r="Y18" s="4">
        <v>0.15</v>
      </c>
    </row>
    <row r="19" spans="1:25">
      <c r="A19" s="23">
        <v>12</v>
      </c>
      <c r="B19" s="24" t="s">
        <v>119</v>
      </c>
      <c r="C19" s="25" t="s">
        <v>120</v>
      </c>
      <c r="D19" s="27">
        <f>Component_Properties!D16</f>
        <v>72.150999999999996</v>
      </c>
      <c r="E19" s="7">
        <f>Component_Properties!E16</f>
        <v>0.63109999999999999</v>
      </c>
      <c r="F19" s="4">
        <v>0</v>
      </c>
      <c r="G19" s="4">
        <v>0</v>
      </c>
      <c r="H19" s="4">
        <v>1.1399999999999999</v>
      </c>
      <c r="I19" s="4">
        <v>0</v>
      </c>
      <c r="J19" s="4">
        <v>1.29</v>
      </c>
      <c r="K19" s="4">
        <v>0</v>
      </c>
      <c r="L19" s="4">
        <v>1.52</v>
      </c>
      <c r="M19" s="4">
        <v>0</v>
      </c>
      <c r="N19" s="4">
        <v>2.09</v>
      </c>
      <c r="O19" s="4">
        <v>0</v>
      </c>
      <c r="P19" s="4">
        <v>3.83</v>
      </c>
      <c r="Q19" s="4">
        <v>0</v>
      </c>
      <c r="R19" s="4">
        <v>12.135999999999999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0.82</v>
      </c>
      <c r="Y19" s="4">
        <v>0.27</v>
      </c>
    </row>
    <row r="20" spans="1:25">
      <c r="A20" s="23">
        <v>13</v>
      </c>
      <c r="B20" s="24" t="s">
        <v>121</v>
      </c>
      <c r="C20" s="25" t="s">
        <v>122</v>
      </c>
      <c r="D20" s="27">
        <f>Component_Properties!D17</f>
        <v>86.177000000000007</v>
      </c>
      <c r="E20" s="7">
        <f>Component_Properties!E17</f>
        <v>0.66400000000000003</v>
      </c>
      <c r="F20" s="4">
        <v>0</v>
      </c>
      <c r="G20" s="4">
        <v>0</v>
      </c>
      <c r="H20" s="4">
        <v>1.04</v>
      </c>
      <c r="I20" s="4">
        <v>0</v>
      </c>
      <c r="J20" s="4">
        <v>1.1599999999999999</v>
      </c>
      <c r="K20" s="4">
        <v>0</v>
      </c>
      <c r="L20" s="4">
        <v>1.35</v>
      </c>
      <c r="M20" s="4">
        <v>0</v>
      </c>
      <c r="N20" s="4">
        <v>1.84</v>
      </c>
      <c r="O20" s="4">
        <v>0</v>
      </c>
      <c r="P20" s="4">
        <v>3.38</v>
      </c>
      <c r="Q20" s="4">
        <v>0</v>
      </c>
      <c r="R20" s="4">
        <v>12.236000000000001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3.71</v>
      </c>
      <c r="Y20" s="4">
        <v>1.48</v>
      </c>
    </row>
    <row r="21" spans="1:25">
      <c r="A21" s="23">
        <v>14</v>
      </c>
      <c r="B21" s="24" t="s">
        <v>123</v>
      </c>
      <c r="C21" s="25" t="s">
        <v>124</v>
      </c>
      <c r="D21" s="27">
        <f>Component_Properties!D18</f>
        <v>84.16</v>
      </c>
      <c r="E21" s="7">
        <f>Component_Properties!E18</f>
        <v>0.75360000000000005</v>
      </c>
      <c r="F21" s="4">
        <v>0</v>
      </c>
      <c r="G21" s="4">
        <v>0</v>
      </c>
      <c r="H21" s="4">
        <v>0.12</v>
      </c>
      <c r="I21" s="4">
        <v>0</v>
      </c>
      <c r="J21" s="4">
        <v>0.13</v>
      </c>
      <c r="K21" s="4">
        <v>0</v>
      </c>
      <c r="L21" s="4">
        <v>0.15</v>
      </c>
      <c r="M21" s="4">
        <v>0</v>
      </c>
      <c r="N21" s="4">
        <v>0.2</v>
      </c>
      <c r="O21" s="4">
        <v>0</v>
      </c>
      <c r="P21" s="4">
        <v>0.38</v>
      </c>
      <c r="Q21" s="4">
        <v>0</v>
      </c>
      <c r="R21" s="4">
        <v>1.55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0.79</v>
      </c>
      <c r="Y21" s="4">
        <v>0.31</v>
      </c>
    </row>
    <row r="22" spans="1:25">
      <c r="A22" s="23">
        <v>15</v>
      </c>
      <c r="B22" s="24" t="s">
        <v>125</v>
      </c>
      <c r="C22" s="25" t="s">
        <v>125</v>
      </c>
      <c r="D22" s="27">
        <f>Component_Properties!D19</f>
        <v>78.11</v>
      </c>
      <c r="E22" s="7">
        <f>Component_Properties!E19</f>
        <v>0.88439999999999996</v>
      </c>
      <c r="F22" s="4">
        <v>0</v>
      </c>
      <c r="G22" s="4">
        <v>0</v>
      </c>
      <c r="H22" s="4">
        <v>0.03</v>
      </c>
      <c r="I22" s="4">
        <v>0</v>
      </c>
      <c r="J22" s="4">
        <v>0.03</v>
      </c>
      <c r="K22" s="4">
        <v>0</v>
      </c>
      <c r="L22" s="4">
        <v>0.04</v>
      </c>
      <c r="M22" s="4">
        <v>0</v>
      </c>
      <c r="N22" s="4">
        <v>0.05</v>
      </c>
      <c r="O22" s="4">
        <v>0</v>
      </c>
      <c r="P22" s="4">
        <v>0.1</v>
      </c>
      <c r="Q22" s="4">
        <v>0</v>
      </c>
      <c r="R22" s="4">
        <v>0.42199999999999999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0.23</v>
      </c>
      <c r="Y22" s="4">
        <v>0.09</v>
      </c>
    </row>
    <row r="23" spans="1:25">
      <c r="A23" s="23">
        <v>16</v>
      </c>
      <c r="B23" s="24" t="s">
        <v>126</v>
      </c>
      <c r="C23" s="25" t="s">
        <v>127</v>
      </c>
      <c r="D23" s="27">
        <f>Component_Properties!D20</f>
        <v>84.16</v>
      </c>
      <c r="E23" s="7">
        <f>Component_Properties!E20</f>
        <v>0.78339999999999999</v>
      </c>
      <c r="F23" s="4">
        <v>0</v>
      </c>
      <c r="G23" s="4">
        <v>0</v>
      </c>
      <c r="H23" s="4">
        <v>0.16</v>
      </c>
      <c r="I23" s="4">
        <v>0</v>
      </c>
      <c r="J23" s="4">
        <v>0.17</v>
      </c>
      <c r="K23" s="4">
        <v>0</v>
      </c>
      <c r="L23" s="4">
        <v>0.2</v>
      </c>
      <c r="M23" s="4">
        <v>0</v>
      </c>
      <c r="N23" s="4">
        <v>0.26</v>
      </c>
      <c r="O23" s="4">
        <v>0</v>
      </c>
      <c r="P23" s="4">
        <v>0.49</v>
      </c>
      <c r="Q23" s="4">
        <v>0</v>
      </c>
      <c r="R23" s="4">
        <v>1.282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0.57999999999999996</v>
      </c>
      <c r="Y23" s="4">
        <v>0.23</v>
      </c>
    </row>
    <row r="24" spans="1:25">
      <c r="A24" s="23">
        <v>17</v>
      </c>
      <c r="B24" s="24" t="s">
        <v>128</v>
      </c>
      <c r="C24" s="25" t="s">
        <v>129</v>
      </c>
      <c r="D24" s="27">
        <f>Component_Properties!D21</f>
        <v>100.20399999999999</v>
      </c>
      <c r="E24" s="7">
        <f>Component_Properties!E21</f>
        <v>0.72199999999999998</v>
      </c>
      <c r="F24" s="4">
        <v>0</v>
      </c>
      <c r="G24" s="4">
        <v>0</v>
      </c>
      <c r="H24" s="4">
        <v>0.37</v>
      </c>
      <c r="I24" s="4">
        <v>0</v>
      </c>
      <c r="J24" s="4">
        <v>0.43</v>
      </c>
      <c r="K24" s="4">
        <v>0</v>
      </c>
      <c r="L24" s="4">
        <v>0.49</v>
      </c>
      <c r="M24" s="4">
        <v>0</v>
      </c>
      <c r="N24" s="4">
        <v>0.63</v>
      </c>
      <c r="O24" s="4">
        <v>0</v>
      </c>
      <c r="P24" s="4">
        <v>1.1499999999999999</v>
      </c>
      <c r="Q24" s="4">
        <v>0</v>
      </c>
      <c r="R24" s="4">
        <v>5.226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5.35</v>
      </c>
      <c r="Y24" s="4">
        <v>2.48</v>
      </c>
    </row>
    <row r="25" spans="1:25">
      <c r="A25" s="23">
        <v>18</v>
      </c>
      <c r="B25" s="24" t="s">
        <v>130</v>
      </c>
      <c r="C25" s="25" t="s">
        <v>131</v>
      </c>
      <c r="D25" s="27">
        <f>Component_Properties!D22</f>
        <v>98.19</v>
      </c>
      <c r="E25" s="7">
        <f>Component_Properties!E22</f>
        <v>0.7702</v>
      </c>
      <c r="F25" s="4">
        <v>0</v>
      </c>
      <c r="G25" s="4">
        <v>0</v>
      </c>
      <c r="H25" s="4">
        <v>7.0000000000000007E-2</v>
      </c>
      <c r="I25" s="4">
        <v>0</v>
      </c>
      <c r="J25" s="4">
        <v>0.08</v>
      </c>
      <c r="K25" s="4">
        <v>0</v>
      </c>
      <c r="L25" s="4">
        <v>0.09</v>
      </c>
      <c r="M25" s="4">
        <v>0</v>
      </c>
      <c r="N25" s="4">
        <v>0.12</v>
      </c>
      <c r="O25" s="4">
        <v>0</v>
      </c>
      <c r="P25" s="4">
        <v>0.22</v>
      </c>
      <c r="Q25" s="4">
        <v>0</v>
      </c>
      <c r="R25" s="4">
        <v>0.93600000000000005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1.26</v>
      </c>
      <c r="Y25" s="4">
        <v>0.56999999999999995</v>
      </c>
    </row>
    <row r="26" spans="1:25">
      <c r="A26" s="23">
        <v>19</v>
      </c>
      <c r="B26" s="24" t="s">
        <v>132</v>
      </c>
      <c r="C26" s="25" t="s">
        <v>132</v>
      </c>
      <c r="D26" s="27">
        <f>Component_Properties!D23</f>
        <v>92.14</v>
      </c>
      <c r="E26" s="7">
        <f>Component_Properties!E23</f>
        <v>0.87180000000000002</v>
      </c>
      <c r="F26" s="4">
        <v>0</v>
      </c>
      <c r="G26" s="4">
        <v>0</v>
      </c>
      <c r="H26" s="4">
        <v>7.0000000000000007E-2</v>
      </c>
      <c r="I26" s="4">
        <v>0</v>
      </c>
      <c r="J26" s="4">
        <v>7.0000000000000007E-2</v>
      </c>
      <c r="K26" s="4">
        <v>0</v>
      </c>
      <c r="L26" s="4">
        <v>0.08</v>
      </c>
      <c r="M26" s="4">
        <v>0</v>
      </c>
      <c r="N26" s="4">
        <v>0.1</v>
      </c>
      <c r="O26" s="4">
        <v>0</v>
      </c>
      <c r="P26" s="4">
        <v>0.17</v>
      </c>
      <c r="Q26" s="4">
        <v>0</v>
      </c>
      <c r="R26" s="4">
        <v>0.65200000000000002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0.98</v>
      </c>
      <c r="Y26" s="4">
        <v>0.42</v>
      </c>
    </row>
    <row r="27" spans="1:25">
      <c r="A27" s="23">
        <v>20</v>
      </c>
      <c r="B27" s="24" t="s">
        <v>133</v>
      </c>
      <c r="C27" s="25" t="s">
        <v>134</v>
      </c>
      <c r="D27" s="27">
        <f>Component_Properties!D24</f>
        <v>114.23099999999999</v>
      </c>
      <c r="E27" s="7">
        <f>Component_Properties!E24</f>
        <v>0.745</v>
      </c>
      <c r="F27" s="4">
        <v>0</v>
      </c>
      <c r="G27" s="4">
        <v>0</v>
      </c>
      <c r="H27" s="4">
        <v>0.27</v>
      </c>
      <c r="I27" s="4">
        <v>0</v>
      </c>
      <c r="J27" s="4">
        <v>0.28999999999999998</v>
      </c>
      <c r="K27" s="4">
        <v>0</v>
      </c>
      <c r="L27" s="4">
        <v>0.32</v>
      </c>
      <c r="M27" s="4">
        <v>0</v>
      </c>
      <c r="N27" s="4">
        <v>0.39</v>
      </c>
      <c r="O27" s="4">
        <v>0</v>
      </c>
      <c r="P27" s="4">
        <v>0.67</v>
      </c>
      <c r="Q27" s="4">
        <v>0</v>
      </c>
      <c r="R27" s="4">
        <v>3.1419999999999999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6.48</v>
      </c>
      <c r="Y27" s="4">
        <v>3.43</v>
      </c>
    </row>
    <row r="28" spans="1:25">
      <c r="A28" s="23">
        <v>21</v>
      </c>
      <c r="B28" s="24" t="s">
        <v>135</v>
      </c>
      <c r="C28" s="25" t="s">
        <v>136</v>
      </c>
      <c r="D28" s="27">
        <f>Component_Properties!D25</f>
        <v>106.17</v>
      </c>
      <c r="E28" s="7">
        <f>Component_Properties!E25</f>
        <v>0.872</v>
      </c>
      <c r="F28" s="4">
        <v>0</v>
      </c>
      <c r="G28" s="4">
        <v>0</v>
      </c>
      <c r="H28" s="4">
        <v>0.02</v>
      </c>
      <c r="I28" s="4">
        <v>0</v>
      </c>
      <c r="J28" s="4">
        <v>0.03</v>
      </c>
      <c r="K28" s="4">
        <v>0</v>
      </c>
      <c r="L28" s="4">
        <v>0.03</v>
      </c>
      <c r="M28" s="4">
        <v>0</v>
      </c>
      <c r="N28" s="4">
        <v>0.03</v>
      </c>
      <c r="O28" s="4">
        <v>0</v>
      </c>
      <c r="P28" s="4">
        <v>0.05</v>
      </c>
      <c r="Q28" s="4">
        <v>0</v>
      </c>
      <c r="R28" s="4">
        <v>0.222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0.73</v>
      </c>
      <c r="Y28" s="4">
        <v>0.36</v>
      </c>
    </row>
    <row r="29" spans="1:25">
      <c r="A29" s="23">
        <v>22</v>
      </c>
      <c r="B29" s="24" t="s">
        <v>137</v>
      </c>
      <c r="C29" s="25" t="s">
        <v>138</v>
      </c>
      <c r="D29" s="27">
        <f>Component_Properties!D26</f>
        <v>106.17</v>
      </c>
      <c r="E29" s="7">
        <f>Component_Properties!E26</f>
        <v>0.86870000000000003</v>
      </c>
      <c r="F29" s="4">
        <v>0</v>
      </c>
      <c r="G29" s="4">
        <v>0</v>
      </c>
      <c r="H29" s="4">
        <v>0.03</v>
      </c>
      <c r="I29" s="4">
        <v>0</v>
      </c>
      <c r="J29" s="4">
        <v>0.03</v>
      </c>
      <c r="K29" s="4">
        <v>0</v>
      </c>
      <c r="L29" s="4">
        <v>0.03</v>
      </c>
      <c r="M29" s="4">
        <v>0</v>
      </c>
      <c r="N29" s="4">
        <v>0.04</v>
      </c>
      <c r="O29" s="4">
        <v>0</v>
      </c>
      <c r="P29" s="4">
        <v>0.06</v>
      </c>
      <c r="Q29" s="4">
        <v>0</v>
      </c>
      <c r="R29" s="4">
        <v>0.38800000000000001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1.38</v>
      </c>
      <c r="Y29" s="4">
        <v>0.68</v>
      </c>
    </row>
    <row r="30" spans="1:25">
      <c r="A30" s="23">
        <v>23</v>
      </c>
      <c r="B30" s="24" t="s">
        <v>139</v>
      </c>
      <c r="C30" s="25" t="s">
        <v>140</v>
      </c>
      <c r="D30" s="27">
        <f>Component_Properties!D27</f>
        <v>106.17</v>
      </c>
      <c r="E30" s="7">
        <f>Component_Properties!E27</f>
        <v>0.88480000000000003</v>
      </c>
      <c r="F30" s="4">
        <v>0</v>
      </c>
      <c r="G30" s="4">
        <v>0</v>
      </c>
      <c r="H30" s="4">
        <v>0.02</v>
      </c>
      <c r="I30" s="4">
        <v>0</v>
      </c>
      <c r="J30" s="4">
        <v>0.02</v>
      </c>
      <c r="K30" s="4">
        <v>0</v>
      </c>
      <c r="L30" s="4">
        <v>0.02</v>
      </c>
      <c r="M30" s="4">
        <v>0</v>
      </c>
      <c r="N30" s="4">
        <v>0.02</v>
      </c>
      <c r="O30" s="4">
        <v>0</v>
      </c>
      <c r="P30" s="4">
        <v>0.03</v>
      </c>
      <c r="Q30" s="4">
        <v>0</v>
      </c>
      <c r="R30" s="4">
        <v>0.16600000000000001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0.68</v>
      </c>
      <c r="Y30" s="4">
        <v>0.34</v>
      </c>
    </row>
    <row r="31" spans="1:25">
      <c r="A31" s="23">
        <v>24</v>
      </c>
      <c r="B31" s="24" t="s">
        <v>141</v>
      </c>
      <c r="C31" s="25" t="s">
        <v>142</v>
      </c>
      <c r="D31" s="27">
        <f>Component_Properties!D28</f>
        <v>128.25800000000001</v>
      </c>
      <c r="E31" s="7">
        <f>Component_Properties!E28</f>
        <v>0.76400000000000001</v>
      </c>
      <c r="F31" s="4">
        <v>0</v>
      </c>
      <c r="G31" s="4">
        <v>0</v>
      </c>
      <c r="H31" s="4">
        <v>0.17</v>
      </c>
      <c r="I31" s="4">
        <v>0</v>
      </c>
      <c r="J31" s="4">
        <v>0.2</v>
      </c>
      <c r="K31" s="4">
        <v>0</v>
      </c>
      <c r="L31" s="4">
        <v>0.2</v>
      </c>
      <c r="M31" s="4">
        <v>0</v>
      </c>
      <c r="N31" s="4">
        <v>0.23</v>
      </c>
      <c r="O31" s="4">
        <v>0</v>
      </c>
      <c r="P31" s="4">
        <v>0.34</v>
      </c>
      <c r="Q31" s="4">
        <v>0</v>
      </c>
      <c r="R31" s="4">
        <v>1.6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5.9</v>
      </c>
      <c r="Y31" s="4">
        <v>3.51</v>
      </c>
    </row>
    <row r="32" spans="1:25">
      <c r="A32" s="23">
        <v>25</v>
      </c>
      <c r="B32" s="24" t="s">
        <v>143</v>
      </c>
      <c r="C32" s="25" t="s">
        <v>144</v>
      </c>
      <c r="D32" s="27">
        <f>Component_Properties!D29</f>
        <v>120.19499999999999</v>
      </c>
      <c r="E32" s="7">
        <f>Component_Properties!E29</f>
        <v>0.876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0.1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0.92</v>
      </c>
      <c r="Y32" s="4">
        <v>0.51</v>
      </c>
    </row>
    <row r="33" spans="1:25">
      <c r="A33" s="23">
        <v>26</v>
      </c>
      <c r="B33" s="24" t="s">
        <v>145</v>
      </c>
      <c r="C33" s="25" t="s">
        <v>146</v>
      </c>
      <c r="D33" s="27">
        <f>Component_Properties!D30</f>
        <v>142.285</v>
      </c>
      <c r="E33" s="7">
        <f>Component_Properties!E30</f>
        <v>0.77800000000000002</v>
      </c>
      <c r="F33" s="4">
        <v>0</v>
      </c>
      <c r="G33" s="4">
        <v>0</v>
      </c>
      <c r="H33" s="4">
        <v>0.09</v>
      </c>
      <c r="I33" s="4">
        <v>0</v>
      </c>
      <c r="J33" s="4">
        <v>0.11</v>
      </c>
      <c r="K33" s="4">
        <v>0</v>
      </c>
      <c r="L33" s="4">
        <v>0.11</v>
      </c>
      <c r="M33" s="4">
        <v>0</v>
      </c>
      <c r="N33" s="4">
        <v>0.1</v>
      </c>
      <c r="O33" s="4">
        <v>0</v>
      </c>
      <c r="P33" s="4">
        <v>0.12</v>
      </c>
      <c r="Q33" s="4">
        <v>0</v>
      </c>
      <c r="R33" s="4">
        <v>1.056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7.2</v>
      </c>
      <c r="Y33" s="4">
        <v>4.75</v>
      </c>
    </row>
    <row r="34" spans="1:25">
      <c r="A34" s="23">
        <v>27</v>
      </c>
      <c r="B34" s="24" t="s">
        <v>147</v>
      </c>
      <c r="C34" s="25" t="s">
        <v>148</v>
      </c>
      <c r="D34" s="27">
        <f>Component_Properties!D31</f>
        <v>156</v>
      </c>
      <c r="E34" s="7">
        <f>Component_Properties!E31</f>
        <v>0.78900000000000003</v>
      </c>
      <c r="F34" s="4">
        <v>0</v>
      </c>
      <c r="G34" s="4">
        <v>0</v>
      </c>
      <c r="H34" s="4">
        <v>0.04</v>
      </c>
      <c r="I34" s="4">
        <v>0</v>
      </c>
      <c r="J34" s="4">
        <v>0.08</v>
      </c>
      <c r="K34" s="4">
        <v>0</v>
      </c>
      <c r="L34" s="4">
        <v>7.0000000000000007E-2</v>
      </c>
      <c r="M34" s="4">
        <v>0</v>
      </c>
      <c r="N34" s="4">
        <v>0.04</v>
      </c>
      <c r="O34" s="4">
        <v>0</v>
      </c>
      <c r="P34" s="4">
        <v>0.05</v>
      </c>
      <c r="Q34" s="4">
        <v>0</v>
      </c>
      <c r="R34" s="4">
        <v>1.0640000000000001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7.11</v>
      </c>
      <c r="Y34" s="4">
        <v>4.8499999999999996</v>
      </c>
    </row>
    <row r="35" spans="1:25">
      <c r="A35" s="23">
        <v>28</v>
      </c>
      <c r="B35" s="24" t="s">
        <v>149</v>
      </c>
      <c r="C35" s="25" t="s">
        <v>150</v>
      </c>
      <c r="D35" s="27">
        <f>Component_Properties!D32</f>
        <v>170</v>
      </c>
      <c r="E35" s="7">
        <f>Component_Properties!E32</f>
        <v>0.8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5.92</v>
      </c>
      <c r="Y35" s="4">
        <v>4.42</v>
      </c>
    </row>
    <row r="36" spans="1:25">
      <c r="A36" s="23">
        <v>29</v>
      </c>
      <c r="B36" s="24" t="s">
        <v>151</v>
      </c>
      <c r="C36" s="25" t="s">
        <v>152</v>
      </c>
      <c r="D36" s="27">
        <f>Component_Properties!D33</f>
        <v>184</v>
      </c>
      <c r="E36" s="7">
        <f>Component_Properties!E33</f>
        <v>0.81100000000000005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5.27</v>
      </c>
      <c r="Y36" s="4">
        <v>4.28</v>
      </c>
    </row>
    <row r="37" spans="1:25">
      <c r="A37" s="23">
        <v>30</v>
      </c>
      <c r="B37" s="24" t="s">
        <v>153</v>
      </c>
      <c r="C37" s="25" t="s">
        <v>154</v>
      </c>
      <c r="D37" s="27">
        <f>Component_Properties!D34</f>
        <v>198</v>
      </c>
      <c r="E37" s="7">
        <f>Component_Properties!E34</f>
        <v>0.82199999999999995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4.6100000000000003</v>
      </c>
      <c r="Y37" s="4">
        <v>4.0599999999999996</v>
      </c>
    </row>
    <row r="38" spans="1:25">
      <c r="A38" s="23">
        <v>31</v>
      </c>
      <c r="B38" s="24" t="s">
        <v>155</v>
      </c>
      <c r="C38" s="25" t="s">
        <v>156</v>
      </c>
      <c r="D38" s="27">
        <f>Component_Properties!D35</f>
        <v>212</v>
      </c>
      <c r="E38" s="7">
        <f>Component_Properties!E35</f>
        <v>0.83199999999999996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4.1399999999999997</v>
      </c>
      <c r="Y38" s="4">
        <v>3.96</v>
      </c>
    </row>
    <row r="39" spans="1:25">
      <c r="A39" s="23">
        <v>32</v>
      </c>
      <c r="B39" s="24" t="s">
        <v>157</v>
      </c>
      <c r="C39" s="25" t="s">
        <v>158</v>
      </c>
      <c r="D39" s="27">
        <f>Component_Properties!D36</f>
        <v>226</v>
      </c>
      <c r="E39" s="7">
        <f>Component_Properties!E36</f>
        <v>0.83899999999999997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3.48</v>
      </c>
      <c r="Y39" s="4">
        <v>3.58</v>
      </c>
    </row>
    <row r="40" spans="1:25">
      <c r="A40" s="23">
        <v>33</v>
      </c>
      <c r="B40" s="24" t="s">
        <v>159</v>
      </c>
      <c r="C40" s="25" t="s">
        <v>160</v>
      </c>
      <c r="D40" s="27">
        <f>Component_Properties!D37</f>
        <v>240</v>
      </c>
      <c r="E40" s="7">
        <f>Component_Properties!E37</f>
        <v>0.84699999999999998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2.91</v>
      </c>
      <c r="Y40" s="4">
        <v>3.19</v>
      </c>
    </row>
    <row r="41" spans="1:25">
      <c r="A41" s="23">
        <v>34</v>
      </c>
      <c r="B41" s="24" t="s">
        <v>161</v>
      </c>
      <c r="C41" s="25" t="s">
        <v>162</v>
      </c>
      <c r="D41" s="27">
        <f>Component_Properties!D38</f>
        <v>254</v>
      </c>
      <c r="E41" s="7">
        <f>Component_Properties!E38</f>
        <v>0.85199999999999998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2.64</v>
      </c>
      <c r="Y41" s="4">
        <v>3.07</v>
      </c>
    </row>
    <row r="42" spans="1:25">
      <c r="A42" s="23">
        <v>35</v>
      </c>
      <c r="B42" s="24" t="s">
        <v>163</v>
      </c>
      <c r="C42" s="25" t="s">
        <v>164</v>
      </c>
      <c r="D42" s="27">
        <f>Component_Properties!D39</f>
        <v>268</v>
      </c>
      <c r="E42" s="7">
        <f>Component_Properties!E39</f>
        <v>0.85699999999999998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2.54</v>
      </c>
      <c r="Y42" s="4">
        <v>3.09</v>
      </c>
    </row>
    <row r="43" spans="1:25">
      <c r="A43" s="23">
        <v>36</v>
      </c>
      <c r="B43" s="24" t="s">
        <v>165</v>
      </c>
      <c r="C43" s="25" t="s">
        <v>166</v>
      </c>
      <c r="D43" s="27">
        <f>Component_Properties!D40</f>
        <v>282</v>
      </c>
      <c r="E43" s="7">
        <f>Component_Properties!E40</f>
        <v>0.86199999999999999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2.1800000000000002</v>
      </c>
      <c r="Y43" s="4">
        <v>2.78</v>
      </c>
    </row>
    <row r="44" spans="1:25">
      <c r="A44" s="23">
        <v>37</v>
      </c>
      <c r="B44" s="24" t="s">
        <v>167</v>
      </c>
      <c r="C44" s="25" t="s">
        <v>168</v>
      </c>
      <c r="D44" s="27">
        <f>Component_Properties!D41</f>
        <v>296</v>
      </c>
      <c r="E44" s="7">
        <f>Component_Properties!E41</f>
        <v>0.86699999999999999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1.95</v>
      </c>
      <c r="Y44" s="4">
        <v>2.63</v>
      </c>
    </row>
    <row r="45" spans="1:25">
      <c r="A45" s="23">
        <v>38</v>
      </c>
      <c r="B45" s="24" t="s">
        <v>169</v>
      </c>
      <c r="C45" s="25" t="s">
        <v>170</v>
      </c>
      <c r="D45" s="27">
        <f>Component_Properties!D42</f>
        <v>310</v>
      </c>
      <c r="E45" s="7">
        <f>Component_Properties!E42</f>
        <v>0.872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1.7</v>
      </c>
      <c r="Y45" s="4">
        <v>2.4</v>
      </c>
    </row>
    <row r="46" spans="1:25">
      <c r="A46" s="23">
        <v>39</v>
      </c>
      <c r="B46" s="24" t="s">
        <v>171</v>
      </c>
      <c r="C46" s="25" t="s">
        <v>172</v>
      </c>
      <c r="D46" s="27">
        <f>Component_Properties!D43</f>
        <v>324</v>
      </c>
      <c r="E46" s="7">
        <f>Component_Properties!E43</f>
        <v>0.877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1.51</v>
      </c>
      <c r="Y46" s="4">
        <v>2.2200000000000002</v>
      </c>
    </row>
    <row r="47" spans="1:25">
      <c r="A47" s="23">
        <v>40</v>
      </c>
      <c r="B47" s="24" t="s">
        <v>173</v>
      </c>
      <c r="C47" s="25" t="s">
        <v>174</v>
      </c>
      <c r="D47" s="27">
        <f>Component_Properties!D44</f>
        <v>338</v>
      </c>
      <c r="E47" s="7">
        <f>Component_Properties!E44</f>
        <v>0.88100000000000001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1.36</v>
      </c>
      <c r="Y47" s="4">
        <v>2.09</v>
      </c>
    </row>
    <row r="48" spans="1:25">
      <c r="A48" s="23">
        <v>41</v>
      </c>
      <c r="B48" s="24" t="s">
        <v>175</v>
      </c>
      <c r="C48" s="25" t="s">
        <v>176</v>
      </c>
      <c r="D48" s="27">
        <f>Component_Properties!D45</f>
        <v>352</v>
      </c>
      <c r="E48" s="7">
        <f>Component_Properties!E45</f>
        <v>0.88500000000000001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1.21</v>
      </c>
      <c r="Y48" s="4">
        <v>1.94</v>
      </c>
    </row>
    <row r="49" spans="1:25">
      <c r="A49" s="23">
        <v>42</v>
      </c>
      <c r="B49" s="24" t="s">
        <v>177</v>
      </c>
      <c r="C49" s="25" t="s">
        <v>178</v>
      </c>
      <c r="D49" s="27">
        <f>Component_Properties!D46</f>
        <v>366</v>
      </c>
      <c r="E49" s="7">
        <f>Component_Properties!E46</f>
        <v>0.88900000000000001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1.08</v>
      </c>
      <c r="Y49" s="4">
        <v>1.8</v>
      </c>
    </row>
    <row r="50" spans="1:25">
      <c r="A50" s="23">
        <v>43</v>
      </c>
      <c r="B50" s="24" t="s">
        <v>179</v>
      </c>
      <c r="C50" s="25" t="s">
        <v>180</v>
      </c>
      <c r="D50" s="27">
        <f>Component_Properties!D47</f>
        <v>380</v>
      </c>
      <c r="E50" s="7">
        <f>Component_Properties!E47</f>
        <v>0.89300000000000002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0.97</v>
      </c>
      <c r="Y50" s="4">
        <v>1.68</v>
      </c>
    </row>
    <row r="51" spans="1:25">
      <c r="A51" s="23">
        <v>44</v>
      </c>
      <c r="B51" s="24" t="s">
        <v>181</v>
      </c>
      <c r="C51" s="25" t="s">
        <v>182</v>
      </c>
      <c r="D51" s="27">
        <f>Component_Properties!D48</f>
        <v>394</v>
      </c>
      <c r="E51" s="7">
        <f>Component_Properties!E48</f>
        <v>0.89600000000000002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0.92</v>
      </c>
      <c r="Y51" s="4">
        <v>1.66</v>
      </c>
    </row>
    <row r="52" spans="1:25">
      <c r="A52" s="23">
        <v>45</v>
      </c>
      <c r="B52" s="24" t="s">
        <v>183</v>
      </c>
      <c r="C52" s="25" t="s">
        <v>184</v>
      </c>
      <c r="D52" s="27">
        <f>Component_Properties!D49</f>
        <v>408</v>
      </c>
      <c r="E52" s="7">
        <f>Component_Properties!E49</f>
        <v>0.89900000000000002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0.83</v>
      </c>
      <c r="Y52" s="4">
        <v>1.56</v>
      </c>
    </row>
    <row r="53" spans="1:25">
      <c r="A53" s="23">
        <v>46</v>
      </c>
      <c r="B53" s="24" t="s">
        <v>185</v>
      </c>
      <c r="C53" s="25" t="s">
        <v>186</v>
      </c>
      <c r="D53" s="27">
        <f>Component_Properties!D50</f>
        <v>422</v>
      </c>
      <c r="E53" s="7">
        <f>Component_Properties!E50</f>
        <v>0.90200000000000002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0.77</v>
      </c>
      <c r="Y53" s="4">
        <v>1.48</v>
      </c>
    </row>
    <row r="54" spans="1:25">
      <c r="A54" s="23">
        <v>47</v>
      </c>
      <c r="B54" s="24" t="s">
        <v>187</v>
      </c>
      <c r="C54" s="25" t="s">
        <v>188</v>
      </c>
      <c r="D54" s="27">
        <f>Component_Properties!D51</f>
        <v>436</v>
      </c>
      <c r="E54" s="7">
        <f>Component_Properties!E51</f>
        <v>0.90600000000000003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0.69</v>
      </c>
      <c r="Y54" s="4">
        <v>1.38</v>
      </c>
    </row>
    <row r="55" spans="1:25">
      <c r="A55" s="23">
        <v>48</v>
      </c>
      <c r="B55" s="24" t="s">
        <v>189</v>
      </c>
      <c r="C55" s="25" t="s">
        <v>190</v>
      </c>
      <c r="D55" s="27">
        <f>Component_Properties!D52</f>
        <v>450</v>
      </c>
      <c r="E55" s="7">
        <f>Component_Properties!E52</f>
        <v>0.90900000000000003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0.61</v>
      </c>
      <c r="Y55" s="4">
        <v>1.26</v>
      </c>
    </row>
    <row r="56" spans="1:25">
      <c r="A56" s="23">
        <v>49</v>
      </c>
      <c r="B56" s="24" t="s">
        <v>191</v>
      </c>
      <c r="C56" s="25" t="s">
        <v>192</v>
      </c>
      <c r="D56" s="27">
        <f>Component_Properties!D53</f>
        <v>464</v>
      </c>
      <c r="E56" s="7">
        <f>Component_Properties!E53</f>
        <v>0.91200000000000003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0.56000000000000005</v>
      </c>
      <c r="Y56" s="4">
        <v>1.19</v>
      </c>
    </row>
    <row r="57" spans="1:25">
      <c r="A57" s="23">
        <v>50</v>
      </c>
      <c r="B57" s="24" t="s">
        <v>193</v>
      </c>
      <c r="C57" s="25" t="s">
        <v>194</v>
      </c>
      <c r="D57" s="27">
        <f>Component_Properties!D54</f>
        <v>478</v>
      </c>
      <c r="E57" s="7">
        <f>Component_Properties!E54</f>
        <v>0.91500000000000004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0.53</v>
      </c>
      <c r="Y57" s="4">
        <v>1.1599999999999999</v>
      </c>
    </row>
    <row r="58" spans="1:25">
      <c r="A58" s="23">
        <v>51</v>
      </c>
      <c r="B58" s="24" t="s">
        <v>195</v>
      </c>
      <c r="C58" s="25" t="s">
        <v>196</v>
      </c>
      <c r="D58" s="27">
        <f>Component_Properties!D55</f>
        <v>492</v>
      </c>
      <c r="E58" s="7">
        <f>Component_Properties!E55</f>
        <v>0.91700000000000004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0.49</v>
      </c>
      <c r="Y58" s="4">
        <v>1.1000000000000001</v>
      </c>
    </row>
    <row r="59" spans="1:25">
      <c r="A59" s="23">
        <v>52</v>
      </c>
      <c r="B59" s="24" t="s">
        <v>197</v>
      </c>
      <c r="C59" s="25" t="s">
        <v>198</v>
      </c>
      <c r="D59" s="27">
        <f>Component_Properties!D56</f>
        <v>636.4</v>
      </c>
      <c r="E59" s="7">
        <f>Component_Properties!E56</f>
        <v>0.94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5.94</v>
      </c>
      <c r="Y59" s="4">
        <v>17.420000000000002</v>
      </c>
    </row>
    <row r="60" spans="1:25">
      <c r="B60" s="28" t="s">
        <v>219</v>
      </c>
      <c r="F60" s="29">
        <f>SUM(F8:F59)</f>
        <v>0</v>
      </c>
      <c r="G60" s="29">
        <f>SUM(G8:G59)</f>
        <v>0</v>
      </c>
      <c r="H60" s="29">
        <f>SUM(H8:H59)</f>
        <v>100</v>
      </c>
      <c r="I60" s="29">
        <f>SUM(I8:I59)</f>
        <v>0</v>
      </c>
      <c r="J60" s="29">
        <f>SUM(J8:J59)</f>
        <v>100</v>
      </c>
      <c r="K60" s="29">
        <f>SUM(K8:K59)</f>
        <v>0</v>
      </c>
      <c r="L60" s="29">
        <f>SUM(L8:L59)</f>
        <v>99.999999999999986</v>
      </c>
      <c r="M60" s="29">
        <f>SUM(M8:M59)</f>
        <v>0</v>
      </c>
      <c r="N60" s="29">
        <f>SUM(N8:N59)</f>
        <v>100.00000000000001</v>
      </c>
      <c r="O60" s="29">
        <f>SUM(O8:O59)</f>
        <v>0</v>
      </c>
      <c r="P60" s="29">
        <f>SUM(P8:P59)</f>
        <v>99.999999999999986</v>
      </c>
      <c r="Q60" s="29">
        <f>SUM(Q8:Q59)</f>
        <v>0</v>
      </c>
      <c r="R60" s="29">
        <f>SUM(R8:R59)</f>
        <v>99.999999999999972</v>
      </c>
      <c r="S60" s="29">
        <f>SUM(S8:S59)</f>
        <v>0</v>
      </c>
      <c r="T60" s="29">
        <f>SUM(T8:T59)</f>
        <v>0</v>
      </c>
      <c r="U60" s="29">
        <f>SUM(U8:U59)</f>
        <v>0</v>
      </c>
      <c r="V60" s="29">
        <f>SUM(V8:V59)</f>
        <v>0</v>
      </c>
      <c r="W60" s="29">
        <f>SUM(W8:W59)</f>
        <v>0</v>
      </c>
      <c r="X60" s="29">
        <f>SUM(X8:X59)</f>
        <v>100.00000000000001</v>
      </c>
      <c r="Y60" s="29">
        <f>SUM(Y8:Y59)</f>
        <v>100</v>
      </c>
    </row>
    <row r="61" spans="1:25">
      <c r="B61" s="1" t="s">
        <v>220</v>
      </c>
      <c r="F61" s="30" t="str">
        <f>IF(F60=0,"empty",IF(ABS(F60-100)&lt;=0.5,"PASS",IF(ABS(F60-100)&lt;=2,"REVIEW","FAIL")))</f>
        <v>empty</v>
      </c>
      <c r="G61" s="30" t="str">
        <f>IF(G60=0,"empty",IF(ABS(G60-100)&lt;=0.5,"PASS",IF(ABS(G60-100)&lt;=2,"REVIEW","FAIL")))</f>
        <v>empty</v>
      </c>
      <c r="H61" s="30" t="str">
        <f>IF(H60=0,"empty",IF(ABS(H60-100)&lt;=0.5,"PASS",IF(ABS(H60-100)&lt;=2,"REVIEW","FAIL")))</f>
        <v>PASS</v>
      </c>
      <c r="I61" s="30" t="str">
        <f>IF(I60=0,"empty",IF(ABS(I60-100)&lt;=0.5,"PASS",IF(ABS(I60-100)&lt;=2,"REVIEW","FAIL")))</f>
        <v>empty</v>
      </c>
      <c r="J61" s="30" t="str">
        <f>IF(J60=0,"empty",IF(ABS(J60-100)&lt;=0.5,"PASS",IF(ABS(J60-100)&lt;=2,"REVIEW","FAIL")))</f>
        <v>PASS</v>
      </c>
      <c r="K61" s="30" t="str">
        <f>IF(K60=0,"empty",IF(ABS(K60-100)&lt;=0.5,"PASS",IF(ABS(K60-100)&lt;=2,"REVIEW","FAIL")))</f>
        <v>empty</v>
      </c>
      <c r="L61" s="30" t="str">
        <f>IF(L60=0,"empty",IF(ABS(L60-100)&lt;=0.5,"PASS",IF(ABS(L60-100)&lt;=2,"REVIEW","FAIL")))</f>
        <v>PASS</v>
      </c>
      <c r="M61" s="30" t="str">
        <f>IF(M60=0,"empty",IF(ABS(M60-100)&lt;=0.5,"PASS",IF(ABS(M60-100)&lt;=2,"REVIEW","FAIL")))</f>
        <v>empty</v>
      </c>
      <c r="N61" s="30" t="str">
        <f>IF(N60=0,"empty",IF(ABS(N60-100)&lt;=0.5,"PASS",IF(ABS(N60-100)&lt;=2,"REVIEW","FAIL")))</f>
        <v>PASS</v>
      </c>
      <c r="O61" s="30" t="str">
        <f>IF(O60=0,"empty",IF(ABS(O60-100)&lt;=0.5,"PASS",IF(ABS(O60-100)&lt;=2,"REVIEW","FAIL")))</f>
        <v>empty</v>
      </c>
      <c r="P61" s="30" t="str">
        <f>IF(P60=0,"empty",IF(ABS(P60-100)&lt;=0.5,"PASS",IF(ABS(P60-100)&lt;=2,"REVIEW","FAIL")))</f>
        <v>PASS</v>
      </c>
      <c r="Q61" s="30" t="str">
        <f>IF(Q60=0,"empty",IF(ABS(Q60-100)&lt;=0.5,"PASS",IF(ABS(Q60-100)&lt;=2,"REVIEW","FAIL")))</f>
        <v>empty</v>
      </c>
      <c r="R61" s="30" t="str">
        <f>IF(R60=0,"empty",IF(ABS(R60-100)&lt;=0.5,"PASS",IF(ABS(R60-100)&lt;=2,"REVIEW","FAIL")))</f>
        <v>PASS</v>
      </c>
      <c r="S61" s="30" t="str">
        <f>IF(S60=0,"empty",IF(ABS(S60-100)&lt;=0.5,"PASS",IF(ABS(S60-100)&lt;=2,"REVIEW","FAIL")))</f>
        <v>empty</v>
      </c>
      <c r="T61" s="30" t="str">
        <f>IF(T60=0,"empty",IF(ABS(T60-100)&lt;=0.5,"PASS",IF(ABS(T60-100)&lt;=2,"REVIEW","FAIL")))</f>
        <v>empty</v>
      </c>
      <c r="U61" s="30" t="str">
        <f>IF(U60=0,"empty",IF(ABS(U60-100)&lt;=0.5,"PASS",IF(ABS(U60-100)&lt;=2,"REVIEW","FAIL")))</f>
        <v>empty</v>
      </c>
      <c r="V61" s="30" t="str">
        <f>IF(V60=0,"empty",IF(ABS(V60-100)&lt;=0.5,"PASS",IF(ABS(V60-100)&lt;=2,"REVIEW","FAIL")))</f>
        <v>empty</v>
      </c>
      <c r="W61" s="30" t="str">
        <f>IF(W60=0,"empty",IF(ABS(W60-100)&lt;=0.5,"PASS",IF(ABS(W60-100)&lt;=2,"REVIEW","FAIL")))</f>
        <v>empty</v>
      </c>
      <c r="X61" s="30" t="str">
        <f>IF(X60=0,"empty",IF(ABS(X60-100)&lt;=0.5,"PASS",IF(ABS(X60-100)&lt;=2,"REVIEW","FAIL")))</f>
        <v>PASS</v>
      </c>
      <c r="Y61" s="30" t="str">
        <f>IF(Y60=0,"empty",IF(ABS(Y60-100)&lt;=0.5,"PASS",IF(ABS(Y60-100)&lt;=2,"REVIEW","FAIL")))</f>
        <v>PASS</v>
      </c>
    </row>
    <row r="63" spans="1:25" ht="21.95" customHeight="1">
      <c r="A63" s="43" t="s">
        <v>221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 spans="1:25">
      <c r="C64" s="1" t="s">
        <v>222</v>
      </c>
      <c r="F64" s="45">
        <f>IF(SUM(F8:F59)=0,0,SUMPRODUCT($D$8:$D$59,F8:F59)/SUM(F8:F59))</f>
        <v>0</v>
      </c>
      <c r="G64" s="58"/>
      <c r="H64" s="45">
        <f>IF(SUM(H8:H59)=0,0,SUMPRODUCT($D$8:$D$59,H8:H59)/SUM(H8:H59))</f>
        <v>25.626342199999996</v>
      </c>
      <c r="I64" s="58"/>
      <c r="J64" s="45">
        <f>IF(SUM(J8:J59)=0,0,SUMPRODUCT($D$8:$D$59,J8:J59)/SUM(J8:J59))</f>
        <v>26.690922370000003</v>
      </c>
      <c r="K64" s="58"/>
      <c r="L64" s="45">
        <f>IF(SUM(L8:L59)=0,0,SUMPRODUCT($D$8:$D$59,L8:L59)/SUM(L8:L59))</f>
        <v>28.247922440000007</v>
      </c>
      <c r="M64" s="58"/>
      <c r="N64" s="45">
        <f>IF(SUM(N8:N59)=0,0,SUMPRODUCT($D$8:$D$59,N8:N59)/SUM(N8:N59))</f>
        <v>31.406440040000003</v>
      </c>
      <c r="O64" s="58"/>
      <c r="P64" s="45">
        <f>IF(SUM(P8:P59)=0,0,SUMPRODUCT($D$8:$D$59,P8:P59)/SUM(P8:P59))</f>
        <v>39.561285850000004</v>
      </c>
      <c r="Q64" s="58"/>
      <c r="R64" s="45">
        <f>IF(SUM(R8:R59)=0,0,SUMPRODUCT($D$8:$D$59,R8:R59)/SUM(R8:R59))</f>
        <v>66.840204094000015</v>
      </c>
      <c r="S64" s="58"/>
      <c r="T64" s="45">
        <f>IF(SUM(T8:T59)=0,0,SUMPRODUCT($D$8:$D$59,T8:T59)/SUM(T8:T59))</f>
        <v>0</v>
      </c>
      <c r="U64" s="58"/>
      <c r="V64" s="45">
        <f>IF(SUM(V8:V59)=0,0,SUMPRODUCT($D$8:$D$59,V8:V59)/SUM(V8:V59))</f>
        <v>0</v>
      </c>
      <c r="W64" s="58"/>
      <c r="X64" s="45">
        <f>IF(SUM(X8:X59)=0,0,SUMPRODUCT($D$8:$D$59,X8:X59)/SUM(X8:X59))</f>
        <v>219.62955349999996</v>
      </c>
      <c r="Y64" s="58"/>
    </row>
    <row r="65" spans="3:25">
      <c r="C65" s="1" t="s">
        <v>223</v>
      </c>
      <c r="F65" s="47">
        <f>IF(SUM(G8:G59)=0,0,100/SUMPRODUCT(G8:G59,1/$D$8:$D$59))</f>
        <v>0</v>
      </c>
      <c r="G65" s="59"/>
      <c r="H65" s="47">
        <f>IF(SUM(I8:I59)=0,0,100/SUMPRODUCT(I8:I59,1/$D$8:$D$59))</f>
        <v>0</v>
      </c>
      <c r="I65" s="59"/>
      <c r="J65" s="47">
        <f>IF(SUM(K8:K59)=0,0,100/SUMPRODUCT(K8:K59,1/$D$8:$D$59))</f>
        <v>0</v>
      </c>
      <c r="K65" s="59"/>
      <c r="L65" s="47">
        <f>IF(SUM(M8:M59)=0,0,100/SUMPRODUCT(M8:M59,1/$D$8:$D$59))</f>
        <v>0</v>
      </c>
      <c r="M65" s="59"/>
      <c r="N65" s="47">
        <f>IF(SUM(O8:O59)=0,0,100/SUMPRODUCT(O8:O59,1/$D$8:$D$59))</f>
        <v>0</v>
      </c>
      <c r="O65" s="59"/>
      <c r="P65" s="47">
        <f>IF(SUM(Q8:Q59)=0,0,100/SUMPRODUCT(Q8:Q59,1/$D$8:$D$59))</f>
        <v>0</v>
      </c>
      <c r="Q65" s="59"/>
      <c r="R65" s="47">
        <f>IF(SUM(S8:S59)=0,0,100/SUMPRODUCT(S8:S59,1/$D$8:$D$59))</f>
        <v>0</v>
      </c>
      <c r="S65" s="59"/>
      <c r="T65" s="47">
        <f>IF(SUM(U8:U59)=0,0,100/SUMPRODUCT(U8:U59,1/$D$8:$D$59))</f>
        <v>0</v>
      </c>
      <c r="U65" s="59"/>
      <c r="V65" s="47">
        <f>IF(SUM(W8:W59)=0,0,100/SUMPRODUCT(W8:W59,1/$D$8:$D$59))</f>
        <v>0</v>
      </c>
      <c r="W65" s="59"/>
      <c r="X65" s="47">
        <f>IF(SUM(Y8:Y59)=0,0,100/SUMPRODUCT(Y8:Y59,1/$D$8:$D$59))</f>
        <v>219.54242748139407</v>
      </c>
      <c r="Y65" s="59"/>
    </row>
    <row r="66" spans="3:25">
      <c r="C66" s="1" t="s">
        <v>224</v>
      </c>
      <c r="F66" s="49">
        <f>IF(SUMPRODUCT(G8:G59,1/$E$8:$E$59)=0,0,SUM(G8:G59)/SUMPRODUCT(G8:G59,1/$E$8:$E$59))</f>
        <v>0</v>
      </c>
      <c r="G66" s="58"/>
      <c r="H66" s="49">
        <f>IF(SUMPRODUCT(I8:I59,1/$E$8:$E$59)=0,0,SUM(I8:I59)/SUMPRODUCT(I8:I59,1/$E$8:$E$59))</f>
        <v>0</v>
      </c>
      <c r="I66" s="58"/>
      <c r="J66" s="49">
        <f>IF(SUMPRODUCT(K8:K59,1/$E$8:$E$59)=0,0,SUM(K8:K59)/SUMPRODUCT(K8:K59,1/$E$8:$E$59))</f>
        <v>0</v>
      </c>
      <c r="K66" s="58"/>
      <c r="L66" s="49">
        <f>IF(SUMPRODUCT(M8:M59,1/$E$8:$E$59)=0,0,SUM(M8:M59)/SUMPRODUCT(M8:M59,1/$E$8:$E$59))</f>
        <v>0</v>
      </c>
      <c r="M66" s="58"/>
      <c r="N66" s="49">
        <f>IF(SUMPRODUCT(O8:O59,1/$E$8:$E$59)=0,0,SUM(O8:O59)/SUMPRODUCT(O8:O59,1/$E$8:$E$59))</f>
        <v>0</v>
      </c>
      <c r="O66" s="58"/>
      <c r="P66" s="49">
        <f>IF(SUMPRODUCT(Q8:Q59,1/$E$8:$E$59)=0,0,SUM(Q8:Q59)/SUMPRODUCT(Q8:Q59,1/$E$8:$E$59))</f>
        <v>0</v>
      </c>
      <c r="Q66" s="58"/>
      <c r="R66" s="49">
        <f>IF(SUMPRODUCT(S8:S59,1/$E$8:$E$59)=0,0,SUM(S8:S59)/SUMPRODUCT(S8:S59,1/$E$8:$E$59))</f>
        <v>0</v>
      </c>
      <c r="S66" s="58"/>
      <c r="T66" s="49">
        <f>IF(SUMPRODUCT(U8:U59,1/$E$8:$E$59)=0,0,SUM(U8:U59)/SUMPRODUCT(U8:U59,1/$E$8:$E$59))</f>
        <v>0</v>
      </c>
      <c r="U66" s="58"/>
      <c r="V66" s="49">
        <f>IF(SUMPRODUCT(W8:W59,1/$E$8:$E$59)=0,0,SUM(W8:W59)/SUMPRODUCT(W8:W59,1/$E$8:$E$59))</f>
        <v>0</v>
      </c>
      <c r="W66" s="58"/>
      <c r="X66" s="49">
        <f>IF(SUMPRODUCT(Y8:Y59,1/$E$8:$E$59)=0,0,SUM(Y8:Y59)/SUMPRODUCT(Y8:Y59,1/$E$8:$E$59))</f>
        <v>0.84409943049964897</v>
      </c>
      <c r="Y66" s="58"/>
    </row>
    <row r="67" spans="3:25">
      <c r="C67" s="1" t="s">
        <v>225</v>
      </c>
      <c r="F67" s="46">
        <f>IF(SUM(F8:F59)=0,0,SUMPRODUCT($D$8:$D$59,F8:F59)/SUM(F8:F59)/28.964)</f>
        <v>0</v>
      </c>
      <c r="G67" s="59"/>
      <c r="H67" s="46">
        <f>IF(SUM(H8:H59)=0,0,SUMPRODUCT($D$8:$D$59,H8:H59)/SUM(H8:H59)/28.964)</f>
        <v>0.88476530175390133</v>
      </c>
      <c r="I67" s="59"/>
      <c r="J67" s="46">
        <f>IF(SUM(J8:J59)=0,0,SUMPRODUCT($D$8:$D$59,J8:J59)/SUM(J8:J59)/28.964)</f>
        <v>0.92152059004281195</v>
      </c>
      <c r="K67" s="59"/>
      <c r="L67" s="46">
        <f>IF(SUM(L8:L59)=0,0,SUMPRODUCT($D$8:$D$59,L8:L59)/SUM(L8:L59)/28.964)</f>
        <v>0.9752769796989369</v>
      </c>
      <c r="M67" s="59"/>
      <c r="N67" s="46">
        <f>IF(SUM(N8:N59)=0,0,SUMPRODUCT($D$8:$D$59,N8:N59)/SUM(N8:N59)/28.964)</f>
        <v>1.0843267518298578</v>
      </c>
      <c r="O67" s="59"/>
      <c r="P67" s="46">
        <f>IF(SUM(P8:P59)=0,0,SUMPRODUCT($D$8:$D$59,P8:P59)/SUM(P8:P59)/28.964)</f>
        <v>1.3658778431846432</v>
      </c>
      <c r="Q67" s="59"/>
      <c r="R67" s="46">
        <f>IF(SUM(R8:R59)=0,0,SUMPRODUCT($D$8:$D$59,R8:R59)/SUM(R8:R59)/28.964)</f>
        <v>2.3076993541637902</v>
      </c>
      <c r="S67" s="59"/>
      <c r="T67" s="46">
        <f>IF(SUM(T8:T59)=0,0,SUMPRODUCT($D$8:$D$59,T8:T59)/SUM(T8:T59)/28.964)</f>
        <v>0</v>
      </c>
      <c r="U67" s="59"/>
      <c r="V67" s="46">
        <f>IF(SUM(V8:V59)=0,0,SUMPRODUCT($D$8:$D$59,V8:V59)/SUM(V8:V59)/28.964)</f>
        <v>0</v>
      </c>
      <c r="W67" s="59"/>
      <c r="X67" s="51" t="s">
        <v>226</v>
      </c>
      <c r="Y67" s="57"/>
    </row>
    <row r="68" spans="3:25">
      <c r="C68" s="1" t="s">
        <v>227</v>
      </c>
      <c r="F68" s="47">
        <f>IF(F64=0,0,ABS(F64-F65)/F64*100)</f>
        <v>0</v>
      </c>
      <c r="G68" s="59"/>
      <c r="H68" s="47">
        <f>IF(H64=0,0,ABS(H64-H65)/H64*100)</f>
        <v>100</v>
      </c>
      <c r="I68" s="59"/>
      <c r="J68" s="47">
        <f>IF(J64=0,0,ABS(J64-J65)/J64*100)</f>
        <v>100</v>
      </c>
      <c r="K68" s="59"/>
      <c r="L68" s="47">
        <f>IF(L64=0,0,ABS(L64-L65)/L64*100)</f>
        <v>100</v>
      </c>
      <c r="M68" s="59"/>
      <c r="N68" s="47">
        <f>IF(N64=0,0,ABS(N64-N65)/N64*100)</f>
        <v>100</v>
      </c>
      <c r="O68" s="59"/>
      <c r="P68" s="47">
        <f>IF(P64=0,0,ABS(P64-P65)/P64*100)</f>
        <v>100</v>
      </c>
      <c r="Q68" s="59"/>
      <c r="R68" s="47">
        <f>IF(R64=0,0,ABS(R64-R65)/R64*100)</f>
        <v>100</v>
      </c>
      <c r="S68" s="59"/>
      <c r="T68" s="47">
        <f>IF(T64=0,0,ABS(T64-T65)/T64*100)</f>
        <v>0</v>
      </c>
      <c r="U68" s="59"/>
      <c r="V68" s="47">
        <f>IF(V64=0,0,ABS(V64-V65)/V64*100)</f>
        <v>0</v>
      </c>
      <c r="W68" s="59"/>
      <c r="X68" s="47">
        <f>IF(X64=0,0,ABS(X64-X65)/X64*100)</f>
        <v>3.9669533183240853E-2</v>
      </c>
      <c r="Y68" s="59"/>
    </row>
  </sheetData>
  <mergeCells count="76">
    <mergeCell ref="A1:Y1"/>
    <mergeCell ref="X5:Y5"/>
    <mergeCell ref="A5:E5"/>
    <mergeCell ref="P66:Q66"/>
    <mergeCell ref="H66:I66"/>
    <mergeCell ref="R66:S66"/>
    <mergeCell ref="T66:U66"/>
    <mergeCell ref="J66:K66"/>
    <mergeCell ref="V66:W66"/>
    <mergeCell ref="H65:I65"/>
    <mergeCell ref="L6:M6"/>
    <mergeCell ref="N6:O6"/>
    <mergeCell ref="T6:U6"/>
    <mergeCell ref="H5:I5"/>
    <mergeCell ref="L65:M65"/>
    <mergeCell ref="P5:Q5"/>
    <mergeCell ref="X65:Y65"/>
    <mergeCell ref="X68:Y68"/>
    <mergeCell ref="V6:W6"/>
    <mergeCell ref="N64:O64"/>
    <mergeCell ref="T64:U64"/>
    <mergeCell ref="X6:Y6"/>
    <mergeCell ref="N67:O67"/>
    <mergeCell ref="X64:Y64"/>
    <mergeCell ref="V68:W68"/>
    <mergeCell ref="P68:Q68"/>
    <mergeCell ref="R68:S68"/>
    <mergeCell ref="V65:W65"/>
    <mergeCell ref="T67:U67"/>
    <mergeCell ref="N68:O68"/>
    <mergeCell ref="F5:G5"/>
    <mergeCell ref="R6:S6"/>
    <mergeCell ref="T68:U68"/>
    <mergeCell ref="L5:M5"/>
    <mergeCell ref="J65:K65"/>
    <mergeCell ref="P65:Q65"/>
    <mergeCell ref="N5:O5"/>
    <mergeCell ref="R65:S65"/>
    <mergeCell ref="P67:Q67"/>
    <mergeCell ref="F66:G66"/>
    <mergeCell ref="L64:M64"/>
    <mergeCell ref="F67:G67"/>
    <mergeCell ref="R5:S5"/>
    <mergeCell ref="F64:G64"/>
    <mergeCell ref="F68:G68"/>
    <mergeCell ref="F65:G65"/>
    <mergeCell ref="T5:U5"/>
    <mergeCell ref="V67:W67"/>
    <mergeCell ref="V5:W5"/>
    <mergeCell ref="L66:M66"/>
    <mergeCell ref="F6:G6"/>
    <mergeCell ref="N66:O66"/>
    <mergeCell ref="V64:W64"/>
    <mergeCell ref="H68:I68"/>
    <mergeCell ref="J68:K68"/>
    <mergeCell ref="T65:U65"/>
    <mergeCell ref="A63:Y63"/>
    <mergeCell ref="H6:I6"/>
    <mergeCell ref="L68:M68"/>
    <mergeCell ref="J6:K6"/>
    <mergeCell ref="J64:K64"/>
    <mergeCell ref="P64:Q64"/>
    <mergeCell ref="A2:Y2"/>
    <mergeCell ref="H67:I67"/>
    <mergeCell ref="R64:S64"/>
    <mergeCell ref="N65:O65"/>
    <mergeCell ref="J5:K5"/>
    <mergeCell ref="J67:K67"/>
    <mergeCell ref="L67:M67"/>
    <mergeCell ref="R67:S67"/>
    <mergeCell ref="X67:Y67"/>
    <mergeCell ref="A4:Y4"/>
    <mergeCell ref="A6:E6"/>
    <mergeCell ref="X66:Y66"/>
    <mergeCell ref="P6:Q6"/>
    <mergeCell ref="H64:I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workbookViewId="0">
      <pane ySplit="14" topLeftCell="A15" activePane="bottomLeft" state="frozen"/>
      <selection pane="bottomLeft"/>
    </sheetView>
  </sheetViews>
  <sheetFormatPr defaultRowHeight="15"/>
  <cols>
    <col min="1" max="1" width="6" customWidth="1"/>
    <col min="2" max="2" width="10" customWidth="1"/>
    <col min="3" max="3" width="8" customWidth="1"/>
    <col min="4" max="4" width="12" customWidth="1"/>
    <col min="5" max="5" width="10" customWidth="1"/>
    <col min="6" max="6" width="11" customWidth="1"/>
    <col min="7" max="7" width="10" customWidth="1"/>
    <col min="8" max="8" width="11" customWidth="1"/>
    <col min="9" max="9" width="10" customWidth="1"/>
    <col min="10" max="11" width="11" customWidth="1"/>
    <col min="12" max="12" width="10" customWidth="1"/>
    <col min="13" max="13" width="9" customWidth="1"/>
    <col min="14" max="14" width="11" customWidth="1"/>
    <col min="15" max="15" width="10" customWidth="1"/>
    <col min="16" max="18" width="11" customWidth="1"/>
  </cols>
  <sheetData>
    <row r="1" spans="1:18" ht="26.1" customHeight="1">
      <c r="A1" s="44" t="s">
        <v>228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ht="15" customHeight="1">
      <c r="A2" s="42" t="s">
        <v>229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4" spans="1:18" ht="21.95" customHeight="1">
      <c r="A4" s="43" t="s">
        <v>230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>
      <c r="A5" s="1" t="s">
        <v>45</v>
      </c>
      <c r="B5" s="6">
        <f>Sample_Info!B13</f>
        <v>1156</v>
      </c>
      <c r="D5" s="1" t="s">
        <v>46</v>
      </c>
      <c r="E5" s="7">
        <f>Sample_Info!E13</f>
        <v>0.68559999999999999</v>
      </c>
    </row>
    <row r="6" spans="1:18">
      <c r="A6" s="1" t="s">
        <v>231</v>
      </c>
      <c r="B6" s="6">
        <f>Sample_Info!E12</f>
        <v>256</v>
      </c>
      <c r="D6" s="1" t="s">
        <v>31</v>
      </c>
      <c r="E6" s="7">
        <f>Sample_Info!B16</f>
        <v>0.84789999999999999</v>
      </c>
    </row>
    <row r="7" spans="1:18">
      <c r="A7" s="1" t="s">
        <v>232</v>
      </c>
      <c r="B7" s="8">
        <f>Sample_Info!B14</f>
        <v>521</v>
      </c>
      <c r="D7" s="1" t="s">
        <v>233</v>
      </c>
      <c r="E7" s="7">
        <f>Sample_Info!E14</f>
        <v>1.331</v>
      </c>
    </row>
    <row r="8" spans="1:18">
      <c r="A8" s="1" t="s">
        <v>234</v>
      </c>
      <c r="B8" s="10">
        <f>DV_Input!B8</f>
        <v>476</v>
      </c>
      <c r="D8" s="1" t="s">
        <v>32</v>
      </c>
      <c r="E8" s="10">
        <f>Sample_Info!E16</f>
        <v>195</v>
      </c>
    </row>
    <row r="10" spans="1:18" ht="20.100000000000001" customHeight="1">
      <c r="A10" s="55" t="s">
        <v>235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</row>
    <row r="14" spans="1:18" ht="42" customHeight="1">
      <c r="A14" s="16" t="s">
        <v>88</v>
      </c>
      <c r="B14" s="16" t="s">
        <v>70</v>
      </c>
      <c r="C14" s="16" t="s">
        <v>71</v>
      </c>
      <c r="D14" s="16" t="s">
        <v>236</v>
      </c>
      <c r="E14" s="16" t="s">
        <v>237</v>
      </c>
      <c r="F14" s="16" t="s">
        <v>238</v>
      </c>
      <c r="G14" s="16" t="s">
        <v>239</v>
      </c>
      <c r="H14" s="16" t="s">
        <v>240</v>
      </c>
      <c r="I14" s="16" t="s">
        <v>241</v>
      </c>
      <c r="J14" s="16" t="s">
        <v>242</v>
      </c>
      <c r="K14" s="16" t="s">
        <v>243</v>
      </c>
      <c r="L14" s="16" t="s">
        <v>244</v>
      </c>
      <c r="M14" s="16" t="s">
        <v>245</v>
      </c>
      <c r="N14" s="16" t="s">
        <v>246</v>
      </c>
      <c r="O14" s="16" t="s">
        <v>247</v>
      </c>
      <c r="P14" s="16" t="s">
        <v>248</v>
      </c>
      <c r="Q14" s="16" t="s">
        <v>249</v>
      </c>
      <c r="R14" s="16" t="s">
        <v>250</v>
      </c>
    </row>
    <row r="15" spans="1:18">
      <c r="A15" s="31">
        <f>DV_Input!A23</f>
        <v>1</v>
      </c>
      <c r="B15" s="8">
        <f>DV_Input!B23</f>
        <v>1156</v>
      </c>
      <c r="C15" s="6">
        <f>DV_Input!C23</f>
        <v>256</v>
      </c>
      <c r="D15" s="7">
        <f>DV_Input!E23</f>
        <v>633.5</v>
      </c>
      <c r="E15" s="21">
        <f>IF($B$8=0,0,D15/$B$8)</f>
        <v>1.3308823529411764</v>
      </c>
      <c r="F15" s="10">
        <f>DV_Input!K23</f>
        <v>0</v>
      </c>
      <c r="G15" s="7">
        <f>DV_Input!L23</f>
        <v>0</v>
      </c>
      <c r="H15" s="21">
        <f>G15</f>
        <v>0</v>
      </c>
      <c r="I15" s="20">
        <f>IF($B$8=0,0,G15*158987.29/$B$8)</f>
        <v>0</v>
      </c>
      <c r="J15" s="20">
        <f>$B$7-SUM($I15:I$16)</f>
        <v>521</v>
      </c>
      <c r="K15" s="20">
        <v>0</v>
      </c>
      <c r="L15" s="21">
        <f>IF(DV_Input!M23&gt;0,DV_Input!M23,IF(K15=0,0,K15/28.964))</f>
        <v>0</v>
      </c>
      <c r="M15" s="21">
        <f>IF(DV_Input!N23&gt;0,DV_Input!N23,1)</f>
        <v>1</v>
      </c>
      <c r="N15" s="32">
        <f>IF(B15=0,0,14.73*(C15+459.67)*M15/(519.67*B15))</f>
        <v>1.7548099129717873E-2</v>
      </c>
      <c r="O15" s="21">
        <f>E15+H15*28316.85*N15/$B$8</f>
        <v>1.3308823529411764</v>
      </c>
      <c r="P15" s="11">
        <f>IF($E$15=0,0,$B$7-($B$7-J15)*$E$7/$E$15)</f>
        <v>521</v>
      </c>
      <c r="Q15" s="12">
        <f>IF($E$15=0,0,E15*$E$7/$E$15)</f>
        <v>1.331</v>
      </c>
      <c r="R15" s="21">
        <f>$E$5</f>
        <v>0.68559999999999999</v>
      </c>
    </row>
    <row r="16" spans="1:18">
      <c r="A16" s="31">
        <f>DV_Input!A24</f>
        <v>2</v>
      </c>
      <c r="B16" s="8">
        <f>DV_Input!B24</f>
        <v>0</v>
      </c>
      <c r="C16" s="6">
        <f>DV_Input!C24</f>
        <v>256</v>
      </c>
      <c r="D16" s="7">
        <f>DV_Input!E24</f>
        <v>0</v>
      </c>
      <c r="E16" s="21">
        <f>IF($B$8=0,0,D16/$B$8)</f>
        <v>0</v>
      </c>
      <c r="F16" s="10">
        <f>DV_Input!K24</f>
        <v>0</v>
      </c>
      <c r="G16" s="7">
        <f>DV_Input!L24</f>
        <v>0</v>
      </c>
      <c r="H16" s="21">
        <f>H15+G16</f>
        <v>0</v>
      </c>
      <c r="I16" s="20">
        <f>IF($B$8=0,0,G16*158987.29/$B$8)</f>
        <v>0</v>
      </c>
      <c r="J16" s="20">
        <f>$B$7-SUM($I$16:I16)</f>
        <v>521</v>
      </c>
      <c r="K16" s="10">
        <f>Compositions_Master!H64</f>
        <v>25.626342199999996</v>
      </c>
      <c r="L16" s="21">
        <f>IF(DV_Input!M24&gt;0,DV_Input!M24,IF(K16=0,0,K16/28.964))</f>
        <v>0.88476530175390133</v>
      </c>
      <c r="M16" s="21">
        <f>IF(DV_Input!N24&gt;0,DV_Input!N24,1)</f>
        <v>1</v>
      </c>
      <c r="N16" s="32">
        <f>IF(B16=0,0,14.73*(C16+459.67)*M16/(519.67*B16))</f>
        <v>0</v>
      </c>
      <c r="O16" s="21">
        <f>E16+H16*28316.85*N16/$B$8</f>
        <v>0</v>
      </c>
      <c r="P16" s="11">
        <f>IF($E$15=0,0,$B$7-($B$7-J16)*$E$7/$E$15)</f>
        <v>521</v>
      </c>
      <c r="Q16" s="12">
        <f>IF($E$15=0,0,E16*$E$7/$E$15)</f>
        <v>0</v>
      </c>
      <c r="R16" s="21">
        <f>IF(D16=0,0,($E$5*$D$15-SUMPRODUCT($F$16:F16,$L$16:L16)*0.0012255)/D16)</f>
        <v>0</v>
      </c>
    </row>
    <row r="17" spans="1:18">
      <c r="A17" s="31">
        <f>DV_Input!A25</f>
        <v>3</v>
      </c>
      <c r="B17" s="8">
        <f>DV_Input!B25</f>
        <v>0</v>
      </c>
      <c r="C17" s="6">
        <f>DV_Input!C25</f>
        <v>256</v>
      </c>
      <c r="D17" s="7">
        <f>DV_Input!E25</f>
        <v>0</v>
      </c>
      <c r="E17" s="21">
        <f>IF($B$8=0,0,D17/$B$8)</f>
        <v>0</v>
      </c>
      <c r="F17" s="10">
        <f>DV_Input!K25</f>
        <v>0</v>
      </c>
      <c r="G17" s="7">
        <f>DV_Input!L25</f>
        <v>0</v>
      </c>
      <c r="H17" s="21">
        <f>H16+G17</f>
        <v>0</v>
      </c>
      <c r="I17" s="20">
        <f>IF($B$8=0,0,G17*158987.29/$B$8)</f>
        <v>0</v>
      </c>
      <c r="J17" s="20">
        <f>$B$7-SUM($I$16:I17)</f>
        <v>521</v>
      </c>
      <c r="K17" s="10">
        <f>Compositions_Master!J64</f>
        <v>26.690922370000003</v>
      </c>
      <c r="L17" s="21">
        <f>IF(DV_Input!M25&gt;0,DV_Input!M25,IF(K17=0,0,K17/28.964))</f>
        <v>0.92152059004281195</v>
      </c>
      <c r="M17" s="21">
        <f>IF(DV_Input!N25&gt;0,DV_Input!N25,1)</f>
        <v>1</v>
      </c>
      <c r="N17" s="32">
        <f>IF(B17=0,0,14.73*(C17+459.67)*M17/(519.67*B17))</f>
        <v>0</v>
      </c>
      <c r="O17" s="21">
        <f>E17+H17*28316.85*N17/$B$8</f>
        <v>0</v>
      </c>
      <c r="P17" s="11">
        <f>IF($E$15=0,0,$B$7-($B$7-J17)*$E$7/$E$15)</f>
        <v>521</v>
      </c>
      <c r="Q17" s="12">
        <f>IF($E$15=0,0,E17*$E$7/$E$15)</f>
        <v>0</v>
      </c>
      <c r="R17" s="21">
        <f>IF(D17=0,0,($E$5*$D$15-SUMPRODUCT($F$16:F17,$L$16:L17)*0.0012255)/D17)</f>
        <v>0</v>
      </c>
    </row>
    <row r="18" spans="1:18">
      <c r="A18" s="31">
        <f>DV_Input!A26</f>
        <v>4</v>
      </c>
      <c r="B18" s="8">
        <f>DV_Input!B26</f>
        <v>0</v>
      </c>
      <c r="C18" s="6">
        <f>DV_Input!C26</f>
        <v>256</v>
      </c>
      <c r="D18" s="7">
        <f>DV_Input!E26</f>
        <v>0</v>
      </c>
      <c r="E18" s="21">
        <f>IF($B$8=0,0,D18/$B$8)</f>
        <v>0</v>
      </c>
      <c r="F18" s="10">
        <f>DV_Input!K26</f>
        <v>0</v>
      </c>
      <c r="G18" s="7">
        <f>DV_Input!L26</f>
        <v>0</v>
      </c>
      <c r="H18" s="21">
        <f>H17+G18</f>
        <v>0</v>
      </c>
      <c r="I18" s="20">
        <f>IF($B$8=0,0,G18*158987.29/$B$8)</f>
        <v>0</v>
      </c>
      <c r="J18" s="20">
        <f>$B$7-SUM($I$16:I18)</f>
        <v>521</v>
      </c>
      <c r="K18" s="10">
        <f>Compositions_Master!L64</f>
        <v>28.247922440000007</v>
      </c>
      <c r="L18" s="21">
        <f>IF(DV_Input!M26&gt;0,DV_Input!M26,IF(K18=0,0,K18/28.964))</f>
        <v>0.9752769796989369</v>
      </c>
      <c r="M18" s="21">
        <f>IF(DV_Input!N26&gt;0,DV_Input!N26,1)</f>
        <v>1</v>
      </c>
      <c r="N18" s="32">
        <f>IF(B18=0,0,14.73*(C18+459.67)*M18/(519.67*B18))</f>
        <v>0</v>
      </c>
      <c r="O18" s="21">
        <f>E18+H18*28316.85*N18/$B$8</f>
        <v>0</v>
      </c>
      <c r="P18" s="11">
        <f>IF($E$15=0,0,$B$7-($B$7-J18)*$E$7/$E$15)</f>
        <v>521</v>
      </c>
      <c r="Q18" s="12">
        <f>IF($E$15=0,0,E18*$E$7/$E$15)</f>
        <v>0</v>
      </c>
      <c r="R18" s="21">
        <f>IF(D18=0,0,($E$5*$D$15-SUMPRODUCT($F$16:F18,$L$16:L18)*0.0012255)/D18)</f>
        <v>0</v>
      </c>
    </row>
    <row r="19" spans="1:18">
      <c r="A19" s="31">
        <f>DV_Input!A27</f>
        <v>5</v>
      </c>
      <c r="B19" s="8">
        <f>DV_Input!B27</f>
        <v>0</v>
      </c>
      <c r="C19" s="6">
        <f>DV_Input!C27</f>
        <v>256</v>
      </c>
      <c r="D19" s="7">
        <f>DV_Input!E27</f>
        <v>0</v>
      </c>
      <c r="E19" s="21">
        <f>IF($B$8=0,0,D19/$B$8)</f>
        <v>0</v>
      </c>
      <c r="F19" s="10">
        <f>DV_Input!K27</f>
        <v>0</v>
      </c>
      <c r="G19" s="7">
        <f>DV_Input!L27</f>
        <v>0</v>
      </c>
      <c r="H19" s="21">
        <f>H18+G19</f>
        <v>0</v>
      </c>
      <c r="I19" s="20">
        <f>IF($B$8=0,0,G19*158987.29/$B$8)</f>
        <v>0</v>
      </c>
      <c r="J19" s="20">
        <f>$B$7-SUM($I$16:I19)</f>
        <v>521</v>
      </c>
      <c r="K19" s="10">
        <f>Compositions_Master!N64</f>
        <v>31.406440040000003</v>
      </c>
      <c r="L19" s="21">
        <f>IF(DV_Input!M27&gt;0,DV_Input!M27,IF(K19=0,0,K19/28.964))</f>
        <v>1.0843267518298578</v>
      </c>
      <c r="M19" s="21">
        <f>IF(DV_Input!N27&gt;0,DV_Input!N27,1)</f>
        <v>1</v>
      </c>
      <c r="N19" s="32">
        <f>IF(B19=0,0,14.73*(C19+459.67)*M19/(519.67*B19))</f>
        <v>0</v>
      </c>
      <c r="O19" s="21">
        <f>E19+H19*28316.85*N19/$B$8</f>
        <v>0</v>
      </c>
      <c r="P19" s="11">
        <f>IF($E$15=0,0,$B$7-($B$7-J19)*$E$7/$E$15)</f>
        <v>521</v>
      </c>
      <c r="Q19" s="12">
        <f>IF($E$15=0,0,E19*$E$7/$E$15)</f>
        <v>0</v>
      </c>
      <c r="R19" s="21">
        <f>IF(D19=0,0,($E$5*$D$15-SUMPRODUCT($F$16:F19,$L$16:L19)*0.0012255)/D19)</f>
        <v>0</v>
      </c>
    </row>
    <row r="20" spans="1:18">
      <c r="A20" s="31">
        <f>DV_Input!A28</f>
        <v>6</v>
      </c>
      <c r="B20" s="8">
        <f>DV_Input!B28</f>
        <v>0</v>
      </c>
      <c r="C20" s="6">
        <f>DV_Input!C28</f>
        <v>256</v>
      </c>
      <c r="D20" s="7">
        <f>DV_Input!E28</f>
        <v>0</v>
      </c>
      <c r="E20" s="21">
        <f>IF($B$8=0,0,D20/$B$8)</f>
        <v>0</v>
      </c>
      <c r="F20" s="10">
        <f>DV_Input!K28</f>
        <v>0</v>
      </c>
      <c r="G20" s="7">
        <f>DV_Input!L28</f>
        <v>0</v>
      </c>
      <c r="H20" s="21">
        <f>H19+G20</f>
        <v>0</v>
      </c>
      <c r="I20" s="20">
        <f>IF($B$8=0,0,G20*158987.29/$B$8)</f>
        <v>0</v>
      </c>
      <c r="J20" s="20">
        <f>$B$7-SUM($I$16:I20)</f>
        <v>521</v>
      </c>
      <c r="K20" s="10">
        <f>Compositions_Master!P64</f>
        <v>39.561285850000004</v>
      </c>
      <c r="L20" s="21">
        <f>IF(DV_Input!M28&gt;0,DV_Input!M28,IF(K20=0,0,K20/28.964))</f>
        <v>1.3658778431846432</v>
      </c>
      <c r="M20" s="21">
        <f>IF(DV_Input!N28&gt;0,DV_Input!N28,1)</f>
        <v>1</v>
      </c>
      <c r="N20" s="32">
        <f>IF(B20=0,0,14.73*(C20+459.67)*M20/(519.67*B20))</f>
        <v>0</v>
      </c>
      <c r="O20" s="21">
        <f>E20+H20*28316.85*N20/$B$8</f>
        <v>0</v>
      </c>
      <c r="P20" s="11">
        <f>IF($E$15=0,0,$B$7-($B$7-J20)*$E$7/$E$15)</f>
        <v>521</v>
      </c>
      <c r="Q20" s="12">
        <f>IF($E$15=0,0,E20*$E$7/$E$15)</f>
        <v>0</v>
      </c>
      <c r="R20" s="21">
        <f>IF(D20=0,0,($E$5*$D$15-SUMPRODUCT($F$16:F20,$L$16:L20)*0.0012255)/D20)</f>
        <v>0</v>
      </c>
    </row>
    <row r="21" spans="1:18">
      <c r="A21" s="31">
        <f>DV_Input!A29</f>
        <v>7</v>
      </c>
      <c r="B21" s="8">
        <f>DV_Input!B29</f>
        <v>0</v>
      </c>
      <c r="C21" s="6">
        <f>DV_Input!C29</f>
        <v>256</v>
      </c>
      <c r="D21" s="7">
        <f>DV_Input!E29</f>
        <v>0</v>
      </c>
      <c r="E21" s="21">
        <f>IF($B$8=0,0,D21/$B$8)</f>
        <v>0</v>
      </c>
      <c r="F21" s="10">
        <f>DV_Input!K29</f>
        <v>0</v>
      </c>
      <c r="G21" s="7">
        <f>DV_Input!L29</f>
        <v>0</v>
      </c>
      <c r="H21" s="21">
        <f>H20+G21</f>
        <v>0</v>
      </c>
      <c r="I21" s="20">
        <f>IF($B$8=0,0,G21*158987.29/$B$8)</f>
        <v>0</v>
      </c>
      <c r="J21" s="20">
        <f>$B$7-SUM($I$16:I21)</f>
        <v>521</v>
      </c>
      <c r="K21" s="10">
        <f>Compositions_Master!R64</f>
        <v>66.840204094000015</v>
      </c>
      <c r="L21" s="21">
        <f>IF(DV_Input!M29&gt;0,DV_Input!M29,IF(K21=0,0,K21/28.964))</f>
        <v>2.3076993541637902</v>
      </c>
      <c r="M21" s="21">
        <f>IF(DV_Input!N29&gt;0,DV_Input!N29,1)</f>
        <v>1</v>
      </c>
      <c r="N21" s="32">
        <f>IF(B21=0,0,14.73*(C21+459.67)*M21/(519.67*B21))</f>
        <v>0</v>
      </c>
      <c r="O21" s="21">
        <f>E21+H21*28316.85*N21/$B$8</f>
        <v>0</v>
      </c>
      <c r="P21" s="11">
        <f>IF($E$15=0,0,$B$7-($B$7-J21)*$E$7/$E$15)</f>
        <v>521</v>
      </c>
      <c r="Q21" s="12">
        <f>IF($E$15=0,0,E21*$E$7/$E$15)</f>
        <v>0</v>
      </c>
      <c r="R21" s="21">
        <f>IF(D21=0,0,($E$5*$D$15-SUMPRODUCT($F$16:F21,$L$16:L21)*0.0012255)/D21)</f>
        <v>0</v>
      </c>
    </row>
    <row r="22" spans="1:18">
      <c r="A22" s="31">
        <f>DV_Input!A30</f>
        <v>8</v>
      </c>
      <c r="B22" s="8">
        <f>DV_Input!B30</f>
        <v>0</v>
      </c>
      <c r="C22" s="6">
        <f>DV_Input!C30</f>
        <v>256</v>
      </c>
      <c r="D22" s="7">
        <f>DV_Input!E30</f>
        <v>0</v>
      </c>
      <c r="E22" s="21">
        <f>IF($B$8=0,0,D22/$B$8)</f>
        <v>0</v>
      </c>
      <c r="F22" s="10">
        <f>DV_Input!K30</f>
        <v>0</v>
      </c>
      <c r="G22" s="7">
        <f>DV_Input!L30</f>
        <v>0</v>
      </c>
      <c r="H22" s="21">
        <f>H21+G22</f>
        <v>0</v>
      </c>
      <c r="I22" s="20">
        <f>IF($B$8=0,0,G22*158987.29/$B$8)</f>
        <v>0</v>
      </c>
      <c r="J22" s="20">
        <f>$B$7-SUM($I$16:I22)</f>
        <v>521</v>
      </c>
      <c r="K22" s="10">
        <f>Compositions_Master!T64</f>
        <v>0</v>
      </c>
      <c r="L22" s="21">
        <f>IF(DV_Input!M30&gt;0,DV_Input!M30,IF(K22=0,0,K22/28.964))</f>
        <v>0</v>
      </c>
      <c r="M22" s="21">
        <f>IF(DV_Input!N30&gt;0,DV_Input!N30,1)</f>
        <v>1</v>
      </c>
      <c r="N22" s="32">
        <f>IF(B22=0,0,14.73*(C22+459.67)*M22/(519.67*B22))</f>
        <v>0</v>
      </c>
      <c r="O22" s="21">
        <f>E22+H22*28316.85*N22/$B$8</f>
        <v>0</v>
      </c>
      <c r="P22" s="11">
        <f>IF($E$15=0,0,$B$7-($B$7-J22)*$E$7/$E$15)</f>
        <v>521</v>
      </c>
      <c r="Q22" s="12">
        <f>IF($E$15=0,0,E22*$E$7/$E$15)</f>
        <v>0</v>
      </c>
      <c r="R22" s="21">
        <f>IF(D22=0,0,($E$5*$D$15-SUMPRODUCT($F$16:F22,$L$16:L22)*0.0012255)/D22)</f>
        <v>0</v>
      </c>
    </row>
    <row r="23" spans="1:18">
      <c r="A23" s="31">
        <f>DV_Input!A31</f>
        <v>9</v>
      </c>
      <c r="B23" s="8">
        <f>DV_Input!B31</f>
        <v>0</v>
      </c>
      <c r="C23" s="6">
        <f>DV_Input!C31</f>
        <v>256</v>
      </c>
      <c r="D23" s="7">
        <f>DV_Input!E31</f>
        <v>0</v>
      </c>
      <c r="E23" s="21">
        <f>IF($B$8=0,0,D23/$B$8)</f>
        <v>0</v>
      </c>
      <c r="F23" s="10">
        <f>DV_Input!K31</f>
        <v>0</v>
      </c>
      <c r="G23" s="7">
        <f>DV_Input!L31</f>
        <v>0</v>
      </c>
      <c r="H23" s="21">
        <f>H22+G23</f>
        <v>0</v>
      </c>
      <c r="I23" s="20">
        <f>IF($B$8=0,0,G23*158987.29/$B$8)</f>
        <v>0</v>
      </c>
      <c r="J23" s="20">
        <f>$B$7-SUM($I$16:I23)</f>
        <v>521</v>
      </c>
      <c r="K23" s="10">
        <f>Compositions_Master!V64</f>
        <v>0</v>
      </c>
      <c r="L23" s="21">
        <f>IF(DV_Input!M31&gt;0,DV_Input!M31,IF(K23=0,0,K23/28.964))</f>
        <v>0</v>
      </c>
      <c r="M23" s="21">
        <f>IF(DV_Input!N31&gt;0,DV_Input!N31,1)</f>
        <v>1</v>
      </c>
      <c r="N23" s="32">
        <f>IF(B23=0,0,14.73*(C23+459.67)*M23/(519.67*B23))</f>
        <v>0</v>
      </c>
      <c r="O23" s="21">
        <f>E23+H23*28316.85*N23/$B$8</f>
        <v>0</v>
      </c>
      <c r="P23" s="11">
        <f>IF($E$15=0,0,$B$7-($B$7-J23)*$E$7/$E$15)</f>
        <v>521</v>
      </c>
      <c r="Q23" s="12">
        <f>IF($E$15=0,0,E23*$E$7/$E$15)</f>
        <v>0</v>
      </c>
      <c r="R23" s="21">
        <f>IF(D23=0,0,($E$5*$D$15-SUMPRODUCT($F$16:F23,$L$16:L23)*0.0012255)/D23)</f>
        <v>0</v>
      </c>
    </row>
    <row r="24" spans="1:18">
      <c r="A24" s="31">
        <f>DV_Input!A32</f>
        <v>10</v>
      </c>
      <c r="B24" s="8">
        <f>DV_Input!B32</f>
        <v>0</v>
      </c>
      <c r="C24" s="6">
        <f>DV_Input!C32</f>
        <v>256</v>
      </c>
      <c r="D24" s="7">
        <f>DV_Input!E32</f>
        <v>0</v>
      </c>
      <c r="E24" s="21">
        <f>IF($B$8=0,0,D24/$B$8)</f>
        <v>0</v>
      </c>
      <c r="F24" s="10">
        <f>DV_Input!K32</f>
        <v>0</v>
      </c>
      <c r="G24" s="7">
        <f>DV_Input!L32</f>
        <v>0</v>
      </c>
      <c r="H24" s="21">
        <f>H23+G24</f>
        <v>0</v>
      </c>
      <c r="I24" s="20">
        <f>IF($B$8=0,0,G24*158987.29/$B$8)</f>
        <v>0</v>
      </c>
      <c r="J24" s="20">
        <f>$B$7-SUM($I$16:I24)</f>
        <v>521</v>
      </c>
      <c r="K24" s="20">
        <v>0</v>
      </c>
      <c r="L24" s="21">
        <f>IF(DV_Input!M32&gt;0,DV_Input!M32,IF(K24=0,0,K24/28.964))</f>
        <v>0</v>
      </c>
      <c r="M24" s="21">
        <f>IF(DV_Input!N32&gt;0,DV_Input!N32,1)</f>
        <v>1</v>
      </c>
      <c r="N24" s="32">
        <f>IF(B24=0,0,14.73*(C24+459.67)*M24/(519.67*B24))</f>
        <v>0</v>
      </c>
      <c r="O24" s="21">
        <f>E24+H24*28316.85*N24/$B$8</f>
        <v>0</v>
      </c>
      <c r="P24" s="11">
        <f>IF($E$15=0,0,$B$7-($B$7-J24)*$E$7/$E$15)</f>
        <v>521</v>
      </c>
      <c r="Q24" s="12">
        <f>IF($E$15=0,0,E24*$E$7/$E$15)</f>
        <v>0</v>
      </c>
      <c r="R24" s="21">
        <f>IF(D24=0,0,($E$5*$D$15-SUMPRODUCT($F$16:F24,$L$16:L24)*0.0012255)/D24)</f>
        <v>0</v>
      </c>
    </row>
    <row r="25" spans="1:18">
      <c r="A25" s="31">
        <f>DV_Input!A33</f>
        <v>11</v>
      </c>
      <c r="B25" s="8">
        <f>DV_Input!B33</f>
        <v>0</v>
      </c>
      <c r="C25" s="6">
        <f>DV_Input!C33</f>
        <v>256</v>
      </c>
      <c r="D25" s="7">
        <f>DV_Input!E33</f>
        <v>0</v>
      </c>
      <c r="E25" s="21">
        <f>IF($B$8=0,0,D25/$B$8)</f>
        <v>0</v>
      </c>
      <c r="F25" s="10">
        <f>DV_Input!K33</f>
        <v>0</v>
      </c>
      <c r="G25" s="7">
        <f>DV_Input!L33</f>
        <v>0</v>
      </c>
      <c r="H25" s="21">
        <f>H24+G25</f>
        <v>0</v>
      </c>
      <c r="I25" s="20">
        <f>IF($B$8=0,0,G25*158987.29/$B$8)</f>
        <v>0</v>
      </c>
      <c r="J25" s="20">
        <f>$B$7-SUM($I$16:I25)</f>
        <v>521</v>
      </c>
      <c r="K25" s="20">
        <v>0</v>
      </c>
      <c r="L25" s="21">
        <f>IF(DV_Input!M33&gt;0,DV_Input!M33,IF(K25=0,0,K25/28.964))</f>
        <v>0</v>
      </c>
      <c r="M25" s="21">
        <f>IF(DV_Input!N33&gt;0,DV_Input!N33,1)</f>
        <v>1</v>
      </c>
      <c r="N25" s="32">
        <f>IF(B25=0,0,14.73*(C25+459.67)*M25/(519.67*B25))</f>
        <v>0</v>
      </c>
      <c r="O25" s="21">
        <f>E25+H25*28316.85*N25/$B$8</f>
        <v>0</v>
      </c>
      <c r="P25" s="11">
        <f>IF($E$15=0,0,$B$7-($B$7-J25)*$E$7/$E$15)</f>
        <v>521</v>
      </c>
      <c r="Q25" s="12">
        <f>IF($E$15=0,0,E25*$E$7/$E$15)</f>
        <v>0</v>
      </c>
      <c r="R25" s="21">
        <f>IF(D25=0,0,($E$5*$D$15-SUMPRODUCT($F$16:F25,$L$16:L25)*0.0012255)/D25)</f>
        <v>0</v>
      </c>
    </row>
    <row r="26" spans="1:18">
      <c r="A26" s="31">
        <f>DV_Input!A34</f>
        <v>12</v>
      </c>
      <c r="B26" s="8">
        <f>DV_Input!B34</f>
        <v>0</v>
      </c>
      <c r="C26" s="6">
        <f>DV_Input!C34</f>
        <v>256</v>
      </c>
      <c r="D26" s="7">
        <f>DV_Input!E34</f>
        <v>0</v>
      </c>
      <c r="E26" s="21">
        <f>IF($B$8=0,0,D26/$B$8)</f>
        <v>0</v>
      </c>
      <c r="F26" s="10">
        <f>DV_Input!K34</f>
        <v>0</v>
      </c>
      <c r="G26" s="7">
        <f>DV_Input!L34</f>
        <v>0</v>
      </c>
      <c r="H26" s="21">
        <f>H25+G26</f>
        <v>0</v>
      </c>
      <c r="I26" s="20">
        <f>IF($B$8=0,0,G26*158987.29/$B$8)</f>
        <v>0</v>
      </c>
      <c r="J26" s="20">
        <f>$B$7-SUM($I$16:I26)</f>
        <v>521</v>
      </c>
      <c r="K26" s="20">
        <v>0</v>
      </c>
      <c r="L26" s="21">
        <f>IF(DV_Input!M34&gt;0,DV_Input!M34,IF(K26=0,0,K26/28.964))</f>
        <v>0</v>
      </c>
      <c r="M26" s="21">
        <f>IF(DV_Input!N34&gt;0,DV_Input!N34,1)</f>
        <v>1</v>
      </c>
      <c r="N26" s="32">
        <f>IF(B26=0,0,14.73*(C26+459.67)*M26/(519.67*B26))</f>
        <v>0</v>
      </c>
      <c r="O26" s="21">
        <f>E26+H26*28316.85*N26/$B$8</f>
        <v>0</v>
      </c>
      <c r="P26" s="11">
        <f>IF($E$15=0,0,$B$7-($B$7-J26)*$E$7/$E$15)</f>
        <v>521</v>
      </c>
      <c r="Q26" s="12">
        <f>IF($E$15=0,0,E26*$E$7/$E$15)</f>
        <v>0</v>
      </c>
      <c r="R26" s="21">
        <f>IF(D26=0,0,($E$5*$D$15-SUMPRODUCT($F$16:F26,$L$16:L26)*0.0012255)/D26)</f>
        <v>0</v>
      </c>
    </row>
    <row r="27" spans="1:18">
      <c r="A27" s="31">
        <f>DV_Input!A35</f>
        <v>13</v>
      </c>
      <c r="B27" s="8">
        <f>DV_Input!B35</f>
        <v>0</v>
      </c>
      <c r="C27" s="6">
        <f>DV_Input!C35</f>
        <v>256</v>
      </c>
      <c r="D27" s="7">
        <f>DV_Input!E35</f>
        <v>0</v>
      </c>
      <c r="E27" s="21">
        <f>IF($B$8=0,0,D27/$B$8)</f>
        <v>0</v>
      </c>
      <c r="F27" s="10">
        <f>DV_Input!K35</f>
        <v>0</v>
      </c>
      <c r="G27" s="7">
        <f>DV_Input!L35</f>
        <v>0</v>
      </c>
      <c r="H27" s="21">
        <f>H26+G27</f>
        <v>0</v>
      </c>
      <c r="I27" s="20">
        <f>IF($B$8=0,0,G27*158987.29/$B$8)</f>
        <v>0</v>
      </c>
      <c r="J27" s="20">
        <f>$B$7-SUM($I$16:I27)</f>
        <v>521</v>
      </c>
      <c r="K27" s="20">
        <v>0</v>
      </c>
      <c r="L27" s="21">
        <f>IF(DV_Input!M35&gt;0,DV_Input!M35,IF(K27=0,0,K27/28.964))</f>
        <v>0</v>
      </c>
      <c r="M27" s="21">
        <f>IF(DV_Input!N35&gt;0,DV_Input!N35,1)</f>
        <v>1</v>
      </c>
      <c r="N27" s="32">
        <f>IF(B27=0,0,14.73*(C27+459.67)*M27/(519.67*B27))</f>
        <v>0</v>
      </c>
      <c r="O27" s="21">
        <f>E27+H27*28316.85*N27/$B$8</f>
        <v>0</v>
      </c>
      <c r="P27" s="11">
        <f>IF($E$15=0,0,$B$7-($B$7-J27)*$E$7/$E$15)</f>
        <v>521</v>
      </c>
      <c r="Q27" s="12">
        <f>IF($E$15=0,0,E27*$E$7/$E$15)</f>
        <v>0</v>
      </c>
      <c r="R27" s="21">
        <f>IF(D27=0,0,($E$5*$D$15-SUMPRODUCT($F$16:F27,$L$16:L27)*0.0012255)/D27)</f>
        <v>0</v>
      </c>
    </row>
    <row r="28" spans="1:18">
      <c r="A28" s="31">
        <f>DV_Input!A36</f>
        <v>14</v>
      </c>
      <c r="B28" s="8">
        <f>DV_Input!B36</f>
        <v>0</v>
      </c>
      <c r="C28" s="6">
        <f>DV_Input!C36</f>
        <v>256</v>
      </c>
      <c r="D28" s="7">
        <f>DV_Input!E36</f>
        <v>0</v>
      </c>
      <c r="E28" s="21">
        <f>IF($B$8=0,0,D28/$B$8)</f>
        <v>0</v>
      </c>
      <c r="F28" s="10">
        <f>DV_Input!K36</f>
        <v>0</v>
      </c>
      <c r="G28" s="7">
        <f>DV_Input!L36</f>
        <v>0</v>
      </c>
      <c r="H28" s="21">
        <f>H27+G28</f>
        <v>0</v>
      </c>
      <c r="I28" s="20">
        <f>IF($B$8=0,0,G28*158987.29/$B$8)</f>
        <v>0</v>
      </c>
      <c r="J28" s="20">
        <f>$B$7-SUM($I$16:I28)</f>
        <v>521</v>
      </c>
      <c r="K28" s="20">
        <v>0</v>
      </c>
      <c r="L28" s="21">
        <f>IF(DV_Input!M36&gt;0,DV_Input!M36,IF(K28=0,0,K28/28.964))</f>
        <v>0</v>
      </c>
      <c r="M28" s="21">
        <f>IF(DV_Input!N36&gt;0,DV_Input!N36,1)</f>
        <v>1</v>
      </c>
      <c r="N28" s="32">
        <f>IF(B28=0,0,14.73*(C28+459.67)*M28/(519.67*B28))</f>
        <v>0</v>
      </c>
      <c r="O28" s="21">
        <f>E28+H28*28316.85*N28/$B$8</f>
        <v>0</v>
      </c>
      <c r="P28" s="11">
        <f>IF($E$15=0,0,$B$7-($B$7-J28)*$E$7/$E$15)</f>
        <v>521</v>
      </c>
      <c r="Q28" s="12">
        <f>IF($E$15=0,0,E28*$E$7/$E$15)</f>
        <v>0</v>
      </c>
      <c r="R28" s="21">
        <f>IF(D28=0,0,($E$5*$D$15-SUMPRODUCT($F$16:F28,$L$16:L28)*0.0012255)/D28)</f>
        <v>0</v>
      </c>
    </row>
    <row r="29" spans="1:18">
      <c r="A29" s="31">
        <f>DV_Input!A37</f>
        <v>15</v>
      </c>
      <c r="B29" s="8">
        <f>DV_Input!B37</f>
        <v>0</v>
      </c>
      <c r="C29" s="6">
        <f>DV_Input!C37</f>
        <v>256</v>
      </c>
      <c r="D29" s="7">
        <f>DV_Input!E37</f>
        <v>0</v>
      </c>
      <c r="E29" s="21">
        <f>IF($B$8=0,0,D29/$B$8)</f>
        <v>0</v>
      </c>
      <c r="F29" s="10">
        <f>DV_Input!K37</f>
        <v>0</v>
      </c>
      <c r="G29" s="7">
        <f>DV_Input!L37</f>
        <v>0</v>
      </c>
      <c r="H29" s="21">
        <f>H28+G29</f>
        <v>0</v>
      </c>
      <c r="I29" s="20">
        <f>IF($B$8=0,0,G29*158987.29/$B$8)</f>
        <v>0</v>
      </c>
      <c r="J29" s="20">
        <f>$B$7-SUM($I$16:I29)</f>
        <v>521</v>
      </c>
      <c r="K29" s="20">
        <v>0</v>
      </c>
      <c r="L29" s="21">
        <f>IF(DV_Input!M37&gt;0,DV_Input!M37,IF(K29=0,0,K29/28.964))</f>
        <v>0</v>
      </c>
      <c r="M29" s="21">
        <f>IF(DV_Input!N37&gt;0,DV_Input!N37,1)</f>
        <v>1</v>
      </c>
      <c r="N29" s="32">
        <f>IF(B29=0,0,14.73*(C29+459.67)*M29/(519.67*B29))</f>
        <v>0</v>
      </c>
      <c r="O29" s="21">
        <f>E29+H29*28316.85*N29/$B$8</f>
        <v>0</v>
      </c>
      <c r="P29" s="11">
        <f>IF($E$15=0,0,$B$7-($B$7-J29)*$E$7/$E$15)</f>
        <v>521</v>
      </c>
      <c r="Q29" s="12">
        <f>IF($E$15=0,0,E29*$E$7/$E$15)</f>
        <v>0</v>
      </c>
      <c r="R29" s="21">
        <f>IF(D29=0,0,($E$5*$D$15-SUMPRODUCT($F$16:F29,$L$16:L29)*0.0012255)/D29)</f>
        <v>0</v>
      </c>
    </row>
    <row r="30" spans="1:18">
      <c r="A30" s="31">
        <f>DV_Input!A38</f>
        <v>16</v>
      </c>
      <c r="B30" s="8">
        <f>DV_Input!B38</f>
        <v>0</v>
      </c>
      <c r="C30" s="6">
        <f>DV_Input!C38</f>
        <v>256</v>
      </c>
      <c r="D30" s="7">
        <f>DV_Input!E38</f>
        <v>0</v>
      </c>
      <c r="E30" s="21">
        <f>IF($B$8=0,0,D30/$B$8)</f>
        <v>0</v>
      </c>
      <c r="F30" s="10">
        <f>DV_Input!K38</f>
        <v>0</v>
      </c>
      <c r="G30" s="7">
        <f>DV_Input!L38</f>
        <v>0</v>
      </c>
      <c r="H30" s="21">
        <f>H29+G30</f>
        <v>0</v>
      </c>
      <c r="I30" s="20">
        <f>IF($B$8=0,0,G30*158987.29/$B$8)</f>
        <v>0</v>
      </c>
      <c r="J30" s="20">
        <f>$B$7-SUM($I$16:I30)</f>
        <v>521</v>
      </c>
      <c r="K30" s="20">
        <v>0</v>
      </c>
      <c r="L30" s="21">
        <f>IF(DV_Input!M38&gt;0,DV_Input!M38,IF(K30=0,0,K30/28.964))</f>
        <v>0</v>
      </c>
      <c r="M30" s="21">
        <f>IF(DV_Input!N38&gt;0,DV_Input!N38,1)</f>
        <v>1</v>
      </c>
      <c r="N30" s="32">
        <f>IF(B30=0,0,14.73*(C30+459.67)*M30/(519.67*B30))</f>
        <v>0</v>
      </c>
      <c r="O30" s="21">
        <f>E30+H30*28316.85*N30/$B$8</f>
        <v>0</v>
      </c>
      <c r="P30" s="11">
        <f>IF($E$15=0,0,$B$7-($B$7-J30)*$E$7/$E$15)</f>
        <v>521</v>
      </c>
      <c r="Q30" s="12">
        <f>IF($E$15=0,0,E30*$E$7/$E$15)</f>
        <v>0</v>
      </c>
      <c r="R30" s="21">
        <f>IF(D30=0,0,($E$5*$D$15-SUMPRODUCT($F$16:F30,$L$16:L30)*0.0012255)/D30)</f>
        <v>0</v>
      </c>
    </row>
    <row r="31" spans="1:18">
      <c r="A31" s="31">
        <f>DV_Input!A39</f>
        <v>17</v>
      </c>
      <c r="B31" s="8">
        <f>DV_Input!B39</f>
        <v>0</v>
      </c>
      <c r="C31" s="6">
        <f>DV_Input!C39</f>
        <v>256</v>
      </c>
      <c r="D31" s="7">
        <f>DV_Input!E39</f>
        <v>0</v>
      </c>
      <c r="E31" s="21">
        <f>IF($B$8=0,0,D31/$B$8)</f>
        <v>0</v>
      </c>
      <c r="F31" s="10">
        <f>DV_Input!K39</f>
        <v>0</v>
      </c>
      <c r="G31" s="7">
        <f>DV_Input!L39</f>
        <v>0</v>
      </c>
      <c r="H31" s="21">
        <f>H30+G31</f>
        <v>0</v>
      </c>
      <c r="I31" s="20">
        <f>IF($B$8=0,0,G31*158987.29/$B$8)</f>
        <v>0</v>
      </c>
      <c r="J31" s="20">
        <f>$B$7-SUM($I$16:I31)</f>
        <v>521</v>
      </c>
      <c r="K31" s="20">
        <v>0</v>
      </c>
      <c r="L31" s="21">
        <f>IF(DV_Input!M39&gt;0,DV_Input!M39,IF(K31=0,0,K31/28.964))</f>
        <v>0</v>
      </c>
      <c r="M31" s="21">
        <f>IF(DV_Input!N39&gt;0,DV_Input!N39,1)</f>
        <v>1</v>
      </c>
      <c r="N31" s="32">
        <f>IF(B31=0,0,14.73*(C31+459.67)*M31/(519.67*B31))</f>
        <v>0</v>
      </c>
      <c r="O31" s="21">
        <f>E31+H31*28316.85*N31/$B$8</f>
        <v>0</v>
      </c>
      <c r="P31" s="11">
        <f>IF($E$15=0,0,$B$7-($B$7-J31)*$E$7/$E$15)</f>
        <v>521</v>
      </c>
      <c r="Q31" s="12">
        <f>IF($E$15=0,0,E31*$E$7/$E$15)</f>
        <v>0</v>
      </c>
      <c r="R31" s="21">
        <f>IF(D31=0,0,($E$5*$D$15-SUMPRODUCT($F$16:F31,$L$16:L31)*0.0012255)/D31)</f>
        <v>0</v>
      </c>
    </row>
    <row r="32" spans="1:18">
      <c r="A32" s="31">
        <f>DV_Input!A40</f>
        <v>18</v>
      </c>
      <c r="B32" s="8">
        <f>DV_Input!B40</f>
        <v>0</v>
      </c>
      <c r="C32" s="6">
        <f>DV_Input!C40</f>
        <v>256</v>
      </c>
      <c r="D32" s="7">
        <f>DV_Input!E40</f>
        <v>0</v>
      </c>
      <c r="E32" s="21">
        <f>IF($B$8=0,0,D32/$B$8)</f>
        <v>0</v>
      </c>
      <c r="F32" s="10">
        <f>DV_Input!K40</f>
        <v>0</v>
      </c>
      <c r="G32" s="7">
        <f>DV_Input!L40</f>
        <v>0</v>
      </c>
      <c r="H32" s="21">
        <f>H31+G32</f>
        <v>0</v>
      </c>
      <c r="I32" s="20">
        <f>IF($B$8=0,0,G32*158987.29/$B$8)</f>
        <v>0</v>
      </c>
      <c r="J32" s="20">
        <f>$B$7-SUM($I$16:I32)</f>
        <v>521</v>
      </c>
      <c r="K32" s="20">
        <v>0</v>
      </c>
      <c r="L32" s="21">
        <f>IF(DV_Input!M40&gt;0,DV_Input!M40,IF(K32=0,0,K32/28.964))</f>
        <v>0</v>
      </c>
      <c r="M32" s="21">
        <f>IF(DV_Input!N40&gt;0,DV_Input!N40,1)</f>
        <v>1</v>
      </c>
      <c r="N32" s="32">
        <f>IF(B32=0,0,14.73*(C32+459.67)*M32/(519.67*B32))</f>
        <v>0</v>
      </c>
      <c r="O32" s="21">
        <f>E32+H32*28316.85*N32/$B$8</f>
        <v>0</v>
      </c>
      <c r="P32" s="11">
        <f>IF($E$15=0,0,$B$7-($B$7-J32)*$E$7/$E$15)</f>
        <v>521</v>
      </c>
      <c r="Q32" s="12">
        <f>IF($E$15=0,0,E32*$E$7/$E$15)</f>
        <v>0</v>
      </c>
      <c r="R32" s="21">
        <f>IF(D32=0,0,($E$5*$D$15-SUMPRODUCT($F$16:F32,$L$16:L32)*0.0012255)/D32)</f>
        <v>0</v>
      </c>
    </row>
    <row r="33" spans="1:18">
      <c r="A33" s="31">
        <f>DV_Input!A41</f>
        <v>19</v>
      </c>
      <c r="B33" s="8">
        <f>DV_Input!B41</f>
        <v>0</v>
      </c>
      <c r="C33" s="6">
        <f>DV_Input!C41</f>
        <v>256</v>
      </c>
      <c r="D33" s="7">
        <f>DV_Input!E41</f>
        <v>0</v>
      </c>
      <c r="E33" s="21">
        <f>IF($B$8=0,0,D33/$B$8)</f>
        <v>0</v>
      </c>
      <c r="F33" s="10">
        <f>DV_Input!K41</f>
        <v>0</v>
      </c>
      <c r="G33" s="7">
        <f>DV_Input!L41</f>
        <v>0</v>
      </c>
      <c r="H33" s="21">
        <f>H32+G33</f>
        <v>0</v>
      </c>
      <c r="I33" s="20">
        <f>IF($B$8=0,0,G33*158987.29/$B$8)</f>
        <v>0</v>
      </c>
      <c r="J33" s="20">
        <f>$B$7-SUM($I$16:I33)</f>
        <v>521</v>
      </c>
      <c r="K33" s="20">
        <v>0</v>
      </c>
      <c r="L33" s="21">
        <f>IF(DV_Input!M41&gt;0,DV_Input!M41,IF(K33=0,0,K33/28.964))</f>
        <v>0</v>
      </c>
      <c r="M33" s="21">
        <f>IF(DV_Input!N41&gt;0,DV_Input!N41,1)</f>
        <v>1</v>
      </c>
      <c r="N33" s="32">
        <f>IF(B33=0,0,14.73*(C33+459.67)*M33/(519.67*B33))</f>
        <v>0</v>
      </c>
      <c r="O33" s="21">
        <f>E33+H33*28316.85*N33/$B$8</f>
        <v>0</v>
      </c>
      <c r="P33" s="11">
        <f>IF($E$15=0,0,$B$7-($B$7-J33)*$E$7/$E$15)</f>
        <v>521</v>
      </c>
      <c r="Q33" s="12">
        <f>IF($E$15=0,0,E33*$E$7/$E$15)</f>
        <v>0</v>
      </c>
      <c r="R33" s="21">
        <f>IF(D33=0,0,($E$5*$D$15-SUMPRODUCT($F$16:F33,$L$16:L33)*0.0012255)/D33)</f>
        <v>0</v>
      </c>
    </row>
    <row r="34" spans="1:18">
      <c r="A34" s="31">
        <f>DV_Input!A42</f>
        <v>20</v>
      </c>
      <c r="B34" s="8">
        <f>DV_Input!B42</f>
        <v>0</v>
      </c>
      <c r="C34" s="6">
        <f>DV_Input!C42</f>
        <v>256</v>
      </c>
      <c r="D34" s="7">
        <f>DV_Input!E42</f>
        <v>0</v>
      </c>
      <c r="E34" s="21">
        <f>IF($B$8=0,0,D34/$B$8)</f>
        <v>0</v>
      </c>
      <c r="F34" s="10">
        <f>DV_Input!K42</f>
        <v>0</v>
      </c>
      <c r="G34" s="7">
        <f>DV_Input!L42</f>
        <v>0</v>
      </c>
      <c r="H34" s="21">
        <f>H33+G34</f>
        <v>0</v>
      </c>
      <c r="I34" s="20">
        <f>IF($B$8=0,0,G34*158987.29/$B$8)</f>
        <v>0</v>
      </c>
      <c r="J34" s="20">
        <f>$B$7-SUM($I$16:I34)</f>
        <v>521</v>
      </c>
      <c r="K34" s="20">
        <v>0</v>
      </c>
      <c r="L34" s="21">
        <f>IF(DV_Input!M42&gt;0,DV_Input!M42,IF(K34=0,0,K34/28.964))</f>
        <v>0</v>
      </c>
      <c r="M34" s="21">
        <f>IF(DV_Input!N42&gt;0,DV_Input!N42,1)</f>
        <v>1</v>
      </c>
      <c r="N34" s="32">
        <f>IF(B34=0,0,14.73*(C34+459.67)*M34/(519.67*B34))</f>
        <v>0</v>
      </c>
      <c r="O34" s="21">
        <f>E34+H34*28316.85*N34/$B$8</f>
        <v>0</v>
      </c>
      <c r="P34" s="11">
        <f>IF($E$15=0,0,$B$7-($B$7-J34)*$E$7/$E$15)</f>
        <v>521</v>
      </c>
      <c r="Q34" s="12">
        <f>IF($E$15=0,0,E34*$E$7/$E$15)</f>
        <v>0</v>
      </c>
      <c r="R34" s="21">
        <f>IF(D34=0,0,($E$5*$D$15-SUMPRODUCT($F$16:F34,$L$16:L34)*0.0012255)/D34)</f>
        <v>0</v>
      </c>
    </row>
    <row r="35" spans="1:18">
      <c r="A35" s="31">
        <f>DV_Input!A43</f>
        <v>21</v>
      </c>
      <c r="B35" s="8">
        <f>DV_Input!B43</f>
        <v>0</v>
      </c>
      <c r="C35" s="6">
        <f>DV_Input!C43</f>
        <v>256</v>
      </c>
      <c r="D35" s="7">
        <f>DV_Input!E43</f>
        <v>0</v>
      </c>
      <c r="E35" s="21">
        <f>IF($B$8=0,0,D35/$B$8)</f>
        <v>0</v>
      </c>
      <c r="F35" s="10">
        <f>DV_Input!K43</f>
        <v>0</v>
      </c>
      <c r="G35" s="7">
        <f>DV_Input!L43</f>
        <v>0</v>
      </c>
      <c r="H35" s="21">
        <f>H34+G35</f>
        <v>0</v>
      </c>
      <c r="I35" s="20">
        <f>IF($B$8=0,0,G35*158987.29/$B$8)</f>
        <v>0</v>
      </c>
      <c r="J35" s="20">
        <f>$B$7-SUM($I$16:I35)</f>
        <v>521</v>
      </c>
      <c r="K35" s="20">
        <v>0</v>
      </c>
      <c r="L35" s="21">
        <f>IF(DV_Input!M43&gt;0,DV_Input!M43,IF(K35=0,0,K35/28.964))</f>
        <v>0</v>
      </c>
      <c r="M35" s="21">
        <f>IF(DV_Input!N43&gt;0,DV_Input!N43,1)</f>
        <v>1</v>
      </c>
      <c r="N35" s="32">
        <f>IF(B35=0,0,14.73*(C35+459.67)*M35/(519.67*B35))</f>
        <v>0</v>
      </c>
      <c r="O35" s="21">
        <f>E35+H35*28316.85*N35/$B$8</f>
        <v>0</v>
      </c>
      <c r="P35" s="11">
        <f>IF($E$15=0,0,$B$7-($B$7-J35)*$E$7/$E$15)</f>
        <v>521</v>
      </c>
      <c r="Q35" s="12">
        <f>IF($E$15=0,0,E35*$E$7/$E$15)</f>
        <v>0</v>
      </c>
      <c r="R35" s="21">
        <f>IF(D35=0,0,($E$5*$D$15-SUMPRODUCT($F$16:F35,$L$16:L35)*0.0012255)/D35)</f>
        <v>0</v>
      </c>
    </row>
    <row r="36" spans="1:18">
      <c r="A36" s="31">
        <f>DV_Input!A44</f>
        <v>22</v>
      </c>
      <c r="B36" s="8">
        <f>DV_Input!B44</f>
        <v>0</v>
      </c>
      <c r="C36" s="6">
        <f>DV_Input!C44</f>
        <v>256</v>
      </c>
      <c r="D36" s="7">
        <f>DV_Input!E44</f>
        <v>0</v>
      </c>
      <c r="E36" s="21">
        <f>IF($B$8=0,0,D36/$B$8)</f>
        <v>0</v>
      </c>
      <c r="F36" s="10">
        <f>DV_Input!K44</f>
        <v>0</v>
      </c>
      <c r="G36" s="7">
        <f>DV_Input!L44</f>
        <v>0</v>
      </c>
      <c r="H36" s="21">
        <f>H35+G36</f>
        <v>0</v>
      </c>
      <c r="I36" s="20">
        <f>IF($B$8=0,0,G36*158987.29/$B$8)</f>
        <v>0</v>
      </c>
      <c r="J36" s="20">
        <f>$B$7-SUM($I$16:I36)</f>
        <v>521</v>
      </c>
      <c r="K36" s="20">
        <v>0</v>
      </c>
      <c r="L36" s="21">
        <f>IF(DV_Input!M44&gt;0,DV_Input!M44,IF(K36=0,0,K36/28.964))</f>
        <v>0</v>
      </c>
      <c r="M36" s="21">
        <f>IF(DV_Input!N44&gt;0,DV_Input!N44,1)</f>
        <v>1</v>
      </c>
      <c r="N36" s="32">
        <f>IF(B36=0,0,14.73*(C36+459.67)*M36/(519.67*B36))</f>
        <v>0</v>
      </c>
      <c r="O36" s="21">
        <f>E36+H36*28316.85*N36/$B$8</f>
        <v>0</v>
      </c>
      <c r="P36" s="11">
        <f>IF($E$15=0,0,$B$7-($B$7-J36)*$E$7/$E$15)</f>
        <v>521</v>
      </c>
      <c r="Q36" s="12">
        <f>IF($E$15=0,0,E36*$E$7/$E$15)</f>
        <v>0</v>
      </c>
      <c r="R36" s="21">
        <f>IF(D36=0,0,($E$5*$D$15-SUMPRODUCT($F$16:F36,$L$16:L36)*0.0012255)/D36)</f>
        <v>0</v>
      </c>
    </row>
    <row r="37" spans="1:18">
      <c r="A37" s="31">
        <f>DV_Input!A45</f>
        <v>23</v>
      </c>
      <c r="B37" s="8">
        <f>DV_Input!B45</f>
        <v>0</v>
      </c>
      <c r="C37" s="6">
        <f>DV_Input!C45</f>
        <v>256</v>
      </c>
      <c r="D37" s="7">
        <f>DV_Input!E45</f>
        <v>0</v>
      </c>
      <c r="E37" s="21">
        <f>IF($B$8=0,0,D37/$B$8)</f>
        <v>0</v>
      </c>
      <c r="F37" s="10">
        <f>DV_Input!K45</f>
        <v>0</v>
      </c>
      <c r="G37" s="7">
        <f>DV_Input!L45</f>
        <v>0</v>
      </c>
      <c r="H37" s="21">
        <f>H36+G37</f>
        <v>0</v>
      </c>
      <c r="I37" s="20">
        <f>IF($B$8=0,0,G37*158987.29/$B$8)</f>
        <v>0</v>
      </c>
      <c r="J37" s="20">
        <f>$B$7-SUM($I$16:I37)</f>
        <v>521</v>
      </c>
      <c r="K37" s="20">
        <v>0</v>
      </c>
      <c r="L37" s="21">
        <f>IF(DV_Input!M45&gt;0,DV_Input!M45,IF(K37=0,0,K37/28.964))</f>
        <v>0</v>
      </c>
      <c r="M37" s="21">
        <f>IF(DV_Input!N45&gt;0,DV_Input!N45,1)</f>
        <v>1</v>
      </c>
      <c r="N37" s="32">
        <f>IF(B37=0,0,14.73*(C37+459.67)*M37/(519.67*B37))</f>
        <v>0</v>
      </c>
      <c r="O37" s="21">
        <f>E37+H37*28316.85*N37/$B$8</f>
        <v>0</v>
      </c>
      <c r="P37" s="11">
        <f>IF($E$15=0,0,$B$7-($B$7-J37)*$E$7/$E$15)</f>
        <v>521</v>
      </c>
      <c r="Q37" s="12">
        <f>IF($E$15=0,0,E37*$E$7/$E$15)</f>
        <v>0</v>
      </c>
      <c r="R37" s="21">
        <f>IF(D37=0,0,($E$5*$D$15-SUMPRODUCT($F$16:F37,$L$16:L37)*0.0012255)/D37)</f>
        <v>0</v>
      </c>
    </row>
    <row r="38" spans="1:18">
      <c r="A38" s="31">
        <f>DV_Input!A46</f>
        <v>24</v>
      </c>
      <c r="B38" s="8">
        <f>DV_Input!B46</f>
        <v>0</v>
      </c>
      <c r="C38" s="6">
        <f>DV_Input!C46</f>
        <v>256</v>
      </c>
      <c r="D38" s="7">
        <f>DV_Input!E46</f>
        <v>0</v>
      </c>
      <c r="E38" s="21">
        <f>IF($B$8=0,0,D38/$B$8)</f>
        <v>0</v>
      </c>
      <c r="F38" s="10">
        <f>DV_Input!K46</f>
        <v>0</v>
      </c>
      <c r="G38" s="7">
        <f>DV_Input!L46</f>
        <v>0</v>
      </c>
      <c r="H38" s="21">
        <f>H37+G38</f>
        <v>0</v>
      </c>
      <c r="I38" s="20">
        <f>IF($B$8=0,0,G38*158987.29/$B$8)</f>
        <v>0</v>
      </c>
      <c r="J38" s="20">
        <f>$B$7-SUM($I$16:I38)</f>
        <v>521</v>
      </c>
      <c r="K38" s="20">
        <v>0</v>
      </c>
      <c r="L38" s="21">
        <f>IF(DV_Input!M46&gt;0,DV_Input!M46,IF(K38=0,0,K38/28.964))</f>
        <v>0</v>
      </c>
      <c r="M38" s="21">
        <f>IF(DV_Input!N46&gt;0,DV_Input!N46,1)</f>
        <v>1</v>
      </c>
      <c r="N38" s="32">
        <f>IF(B38=0,0,14.73*(C38+459.67)*M38/(519.67*B38))</f>
        <v>0</v>
      </c>
      <c r="O38" s="21">
        <f>E38+H38*28316.85*N38/$B$8</f>
        <v>0</v>
      </c>
      <c r="P38" s="11">
        <f>IF($E$15=0,0,$B$7-($B$7-J38)*$E$7/$E$15)</f>
        <v>521</v>
      </c>
      <c r="Q38" s="12">
        <f>IF($E$15=0,0,E38*$E$7/$E$15)</f>
        <v>0</v>
      </c>
      <c r="R38" s="21">
        <f>IF(D38=0,0,($E$5*$D$15-SUMPRODUCT($F$16:F38,$L$16:L38)*0.0012255)/D38)</f>
        <v>0</v>
      </c>
    </row>
    <row r="39" spans="1:18">
      <c r="A39" s="31">
        <f>DV_Input!A47</f>
        <v>25</v>
      </c>
      <c r="B39" s="8">
        <f>DV_Input!B47</f>
        <v>0</v>
      </c>
      <c r="C39" s="6">
        <f>DV_Input!C47</f>
        <v>256</v>
      </c>
      <c r="D39" s="7">
        <f>DV_Input!E47</f>
        <v>0</v>
      </c>
      <c r="E39" s="21">
        <f>IF($B$8=0,0,D39/$B$8)</f>
        <v>0</v>
      </c>
      <c r="F39" s="10">
        <f>DV_Input!K47</f>
        <v>0</v>
      </c>
      <c r="G39" s="7">
        <f>DV_Input!L47</f>
        <v>0</v>
      </c>
      <c r="H39" s="21">
        <f>H38+G39</f>
        <v>0</v>
      </c>
      <c r="I39" s="20">
        <f>IF($B$8=0,0,G39*158987.29/$B$8)</f>
        <v>0</v>
      </c>
      <c r="J39" s="20">
        <f>$B$7-SUM($I$16:I39)</f>
        <v>521</v>
      </c>
      <c r="K39" s="20">
        <v>0</v>
      </c>
      <c r="L39" s="21">
        <f>IF(DV_Input!M47&gt;0,DV_Input!M47,IF(K39=0,0,K39/28.964))</f>
        <v>0</v>
      </c>
      <c r="M39" s="21">
        <f>IF(DV_Input!N47&gt;0,DV_Input!N47,1)</f>
        <v>1</v>
      </c>
      <c r="N39" s="32">
        <f>IF(B39=0,0,14.73*(C39+459.67)*M39/(519.67*B39))</f>
        <v>0</v>
      </c>
      <c r="O39" s="21">
        <f>E39+H39*28316.85*N39/$B$8</f>
        <v>0</v>
      </c>
      <c r="P39" s="11">
        <f>IF($E$15=0,0,$B$7-($B$7-J39)*$E$7/$E$15)</f>
        <v>521</v>
      </c>
      <c r="Q39" s="12">
        <f>IF($E$15=0,0,E39*$E$7/$E$15)</f>
        <v>0</v>
      </c>
      <c r="R39" s="21">
        <f>IF(D39=0,0,($E$5*$D$15-SUMPRODUCT($F$16:F39,$L$16:L39)*0.0012255)/D39)</f>
        <v>0</v>
      </c>
    </row>
    <row r="40" spans="1:18">
      <c r="A40" s="31">
        <f>DV_Input!A48</f>
        <v>26</v>
      </c>
      <c r="B40" s="8">
        <f>DV_Input!B48</f>
        <v>0</v>
      </c>
      <c r="C40" s="6">
        <f>DV_Input!C48</f>
        <v>256</v>
      </c>
      <c r="D40" s="7">
        <f>DV_Input!E48</f>
        <v>0</v>
      </c>
      <c r="E40" s="21">
        <f>IF($B$8=0,0,D40/$B$8)</f>
        <v>0</v>
      </c>
      <c r="F40" s="10">
        <f>DV_Input!K48</f>
        <v>0</v>
      </c>
      <c r="G40" s="7">
        <f>DV_Input!L48</f>
        <v>0</v>
      </c>
      <c r="H40" s="21">
        <f>H39+G40</f>
        <v>0</v>
      </c>
      <c r="I40" s="20">
        <f>IF($B$8=0,0,G40*158987.29/$B$8)</f>
        <v>0</v>
      </c>
      <c r="J40" s="20">
        <f>$B$7-SUM($I$16:I40)</f>
        <v>521</v>
      </c>
      <c r="K40" s="20">
        <v>0</v>
      </c>
      <c r="L40" s="21">
        <f>IF(DV_Input!M48&gt;0,DV_Input!M48,IF(K40=0,0,K40/28.964))</f>
        <v>0</v>
      </c>
      <c r="M40" s="21">
        <f>IF(DV_Input!N48&gt;0,DV_Input!N48,1)</f>
        <v>1</v>
      </c>
      <c r="N40" s="32">
        <f>IF(B40=0,0,14.73*(C40+459.67)*M40/(519.67*B40))</f>
        <v>0</v>
      </c>
      <c r="O40" s="21">
        <f>E40+H40*28316.85*N40/$B$8</f>
        <v>0</v>
      </c>
      <c r="P40" s="11">
        <f>IF($E$15=0,0,$B$7-($B$7-J40)*$E$7/$E$15)</f>
        <v>521</v>
      </c>
      <c r="Q40" s="12">
        <f>IF($E$15=0,0,E40*$E$7/$E$15)</f>
        <v>0</v>
      </c>
      <c r="R40" s="21">
        <f>IF(D40=0,0,($E$5*$D$15-SUMPRODUCT($F$16:F40,$L$16:L40)*0.0012255)/D40)</f>
        <v>0</v>
      </c>
    </row>
    <row r="42" spans="1:18" ht="20.100000000000001" customHeight="1">
      <c r="A42" s="55" t="s">
        <v>251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</row>
    <row r="43" spans="1:18">
      <c r="A43" s="1" t="s">
        <v>252</v>
      </c>
      <c r="B43" s="21">
        <f>$E$5*$D$15</f>
        <v>434.32760000000002</v>
      </c>
    </row>
    <row r="44" spans="1:18">
      <c r="A44" s="1" t="s">
        <v>253</v>
      </c>
      <c r="B44" s="21">
        <f>SUMPRODUCT(F16:F40,L16:L40)*0.0012255</f>
        <v>0</v>
      </c>
    </row>
    <row r="45" spans="1:18">
      <c r="A45" s="1" t="s">
        <v>254</v>
      </c>
      <c r="B45" s="21">
        <f>B43-B44</f>
        <v>434.32760000000002</v>
      </c>
    </row>
    <row r="46" spans="1:18">
      <c r="A46" s="1" t="s">
        <v>255</v>
      </c>
      <c r="B46" s="21">
        <f>$E$6*$B$8</f>
        <v>403.60039999999998</v>
      </c>
    </row>
    <row r="47" spans="1:18" ht="21.95" customHeight="1">
      <c r="A47" s="9" t="s">
        <v>256</v>
      </c>
      <c r="B47" s="11">
        <f>IF(B46=0,0,ABS(B45-B46)/B46*100)</f>
        <v>7.6132729303538955</v>
      </c>
    </row>
    <row r="48" spans="1:18" ht="21.95" customHeight="1">
      <c r="A48" s="9" t="s">
        <v>257</v>
      </c>
      <c r="B48" s="33" t="str">
        <f>IF(B47&lt;=2,"PASS ≤2%",IF(B47&lt;=3,"REVIEW ≤3%","FAIL &gt;3%"))</f>
        <v>FAIL &gt;3%</v>
      </c>
    </row>
    <row r="50" spans="1:18" ht="21.95" customHeight="1">
      <c r="A50" s="55" t="s">
        <v>258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</row>
    <row r="51" spans="1:18" ht="21.95" customHeight="1">
      <c r="A51" s="54" t="s">
        <v>259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</row>
    <row r="52" spans="1:18" ht="21.95" customHeight="1">
      <c r="A52" s="53" t="s">
        <v>260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</row>
    <row r="53" spans="1:18" ht="21.95" customHeight="1">
      <c r="A53" s="53" t="s">
        <v>261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</row>
    <row r="54" spans="1:18" ht="21.95" customHeight="1">
      <c r="A54" s="53" t="s">
        <v>262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</row>
    <row r="55" spans="1:18" ht="21.95" customHeight="1">
      <c r="A55" s="53" t="s">
        <v>263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</row>
    <row r="56" spans="1:18" ht="21.95" customHeight="1">
      <c r="A56" s="53" t="s">
        <v>264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</row>
    <row r="57" spans="1:18" ht="21.95" customHeight="1">
      <c r="A57" s="53" t="s">
        <v>265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</row>
    <row r="58" spans="1:18" ht="21.95" customHeight="1">
      <c r="A58" s="53" t="s">
        <v>266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</row>
    <row r="59" spans="1:18" ht="21.95" customHeight="1">
      <c r="A59" s="53" t="s">
        <v>267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</row>
  </sheetData>
  <mergeCells count="15">
    <mergeCell ref="A1:R1"/>
    <mergeCell ref="A56:R56"/>
    <mergeCell ref="A50:R50"/>
    <mergeCell ref="A4:R4"/>
    <mergeCell ref="A2:R2"/>
    <mergeCell ref="A51:R51"/>
    <mergeCell ref="A52:R52"/>
    <mergeCell ref="A10:R10"/>
    <mergeCell ref="A42:R42"/>
    <mergeCell ref="A53:R53"/>
    <mergeCell ref="A55:R55"/>
    <mergeCell ref="A58:R58"/>
    <mergeCell ref="A59:R59"/>
    <mergeCell ref="A57:R57"/>
    <mergeCell ref="A54:R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6"/>
  <sheetViews>
    <sheetView workbookViewId="0">
      <pane ySplit="25" topLeftCell="A26" activePane="bottomLeft" state="frozen"/>
      <selection pane="bottomLeft"/>
    </sheetView>
  </sheetViews>
  <sheetFormatPr defaultRowHeight="15"/>
  <cols>
    <col min="1" max="1" width="6" customWidth="1"/>
    <col min="2" max="2" width="13" customWidth="1"/>
    <col min="3" max="3" width="22" customWidth="1"/>
    <col min="4" max="4" width="10" customWidth="1"/>
    <col min="5" max="5" width="12" customWidth="1"/>
    <col min="6" max="6" width="15" customWidth="1"/>
    <col min="7" max="7" width="14" customWidth="1"/>
    <col min="8" max="8" width="13" customWidth="1"/>
    <col min="9" max="9" width="15" customWidth="1"/>
    <col min="10" max="11" width="11" customWidth="1"/>
  </cols>
  <sheetData>
    <row r="1" spans="1:11" ht="26.1" customHeight="1">
      <c r="A1" s="44" t="s">
        <v>268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5" customHeight="1">
      <c r="A2" s="42" t="s">
        <v>269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spans="1:11" ht="21.95" customHeight="1">
      <c r="A4" s="43" t="s">
        <v>270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>
      <c r="A5" s="1" t="s">
        <v>271</v>
      </c>
      <c r="B5" s="10">
        <f>DV_Calc!B8</f>
        <v>476</v>
      </c>
    </row>
    <row r="6" spans="1:11">
      <c r="A6" s="1" t="s">
        <v>272</v>
      </c>
      <c r="B6" s="7">
        <f>DV_Calc!E6</f>
        <v>0.84789999999999999</v>
      </c>
    </row>
    <row r="7" spans="1:11">
      <c r="A7" s="1" t="s">
        <v>32</v>
      </c>
      <c r="B7" s="10">
        <f>DV_Calc!E8</f>
        <v>195</v>
      </c>
    </row>
    <row r="8" spans="1:11">
      <c r="A8" s="1" t="s">
        <v>273</v>
      </c>
      <c r="B8" s="21">
        <f>B5*B6</f>
        <v>403.60039999999998</v>
      </c>
    </row>
    <row r="9" spans="1:11">
      <c r="A9" s="1" t="s">
        <v>274</v>
      </c>
      <c r="B9" s="34">
        <f>B8/(B7*453.59)</f>
        <v>4.5630319033171836E-3</v>
      </c>
    </row>
    <row r="10" spans="1:11">
      <c r="A10" s="1" t="s">
        <v>65</v>
      </c>
      <c r="B10" s="14">
        <v>379.48200000000003</v>
      </c>
    </row>
    <row r="12" spans="1:11" ht="21.95" customHeight="1">
      <c r="A12" s="43" t="s">
        <v>275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11">
      <c r="A13" s="16" t="s">
        <v>276</v>
      </c>
      <c r="B13" s="16" t="s">
        <v>70</v>
      </c>
      <c r="C13" s="16" t="s">
        <v>80</v>
      </c>
      <c r="D13" s="16" t="s">
        <v>243</v>
      </c>
      <c r="E13" s="16" t="s">
        <v>277</v>
      </c>
    </row>
    <row r="14" spans="1:11">
      <c r="A14" s="23">
        <v>1</v>
      </c>
      <c r="B14" s="8">
        <f>DV_Calc!B16</f>
        <v>0</v>
      </c>
      <c r="C14" s="7">
        <f>DV_Calc!G16</f>
        <v>0</v>
      </c>
      <c r="D14" s="10">
        <f>DV_Calc!K16</f>
        <v>25.626342199999996</v>
      </c>
      <c r="E14" s="34">
        <f>C14/$B$10</f>
        <v>0</v>
      </c>
    </row>
    <row r="15" spans="1:11">
      <c r="A15" s="23">
        <v>2</v>
      </c>
      <c r="B15" s="8">
        <f>DV_Calc!B17</f>
        <v>0</v>
      </c>
      <c r="C15" s="7">
        <f>DV_Calc!G17</f>
        <v>0</v>
      </c>
      <c r="D15" s="10">
        <f>DV_Calc!K17</f>
        <v>26.690922370000003</v>
      </c>
      <c r="E15" s="34">
        <f>C15/$B$10</f>
        <v>0</v>
      </c>
    </row>
    <row r="16" spans="1:11">
      <c r="A16" s="23">
        <v>3</v>
      </c>
      <c r="B16" s="8">
        <f>DV_Calc!B18</f>
        <v>0</v>
      </c>
      <c r="C16" s="7">
        <f>DV_Calc!G18</f>
        <v>0</v>
      </c>
      <c r="D16" s="10">
        <f>DV_Calc!K18</f>
        <v>28.247922440000007</v>
      </c>
      <c r="E16" s="34">
        <f>C16/$B$10</f>
        <v>0</v>
      </c>
    </row>
    <row r="17" spans="1:11">
      <c r="A17" s="23">
        <v>4</v>
      </c>
      <c r="B17" s="8">
        <f>DV_Calc!B19</f>
        <v>0</v>
      </c>
      <c r="C17" s="7">
        <f>DV_Calc!G19</f>
        <v>0</v>
      </c>
      <c r="D17" s="10">
        <f>DV_Calc!K19</f>
        <v>31.406440040000003</v>
      </c>
      <c r="E17" s="34">
        <f>C17/$B$10</f>
        <v>0</v>
      </c>
    </row>
    <row r="18" spans="1:11">
      <c r="A18" s="23">
        <v>5</v>
      </c>
      <c r="B18" s="8">
        <f>DV_Calc!B20</f>
        <v>0</v>
      </c>
      <c r="C18" s="7">
        <f>DV_Calc!G20</f>
        <v>0</v>
      </c>
      <c r="D18" s="10">
        <f>DV_Calc!K20</f>
        <v>39.561285850000004</v>
      </c>
      <c r="E18" s="34">
        <f>C18/$B$10</f>
        <v>0</v>
      </c>
    </row>
    <row r="19" spans="1:11">
      <c r="A19" s="23">
        <v>6</v>
      </c>
      <c r="B19" s="8">
        <f>DV_Calc!B21</f>
        <v>0</v>
      </c>
      <c r="C19" s="7">
        <f>DV_Calc!G21</f>
        <v>0</v>
      </c>
      <c r="D19" s="10">
        <f>DV_Calc!K21</f>
        <v>66.840204094000015</v>
      </c>
      <c r="E19" s="34">
        <f>C19/$B$10</f>
        <v>0</v>
      </c>
    </row>
    <row r="20" spans="1:11">
      <c r="A20" s="23">
        <v>7</v>
      </c>
      <c r="B20" s="8">
        <f>DV_Calc!B22</f>
        <v>0</v>
      </c>
      <c r="C20" s="7">
        <f>DV_Calc!G22</f>
        <v>0</v>
      </c>
      <c r="D20" s="10">
        <f>DV_Calc!K22</f>
        <v>0</v>
      </c>
      <c r="E20" s="34">
        <f>C20/$B$10</f>
        <v>0</v>
      </c>
    </row>
    <row r="21" spans="1:11">
      <c r="A21" s="23">
        <v>8</v>
      </c>
      <c r="B21" s="8">
        <f>DV_Calc!B23</f>
        <v>0</v>
      </c>
      <c r="C21" s="7">
        <f>DV_Calc!G23</f>
        <v>0</v>
      </c>
      <c r="D21" s="10">
        <f>DV_Calc!K23</f>
        <v>0</v>
      </c>
      <c r="E21" s="34">
        <f>C21/$B$10</f>
        <v>0</v>
      </c>
    </row>
    <row r="22" spans="1:11">
      <c r="D22" s="35" t="s">
        <v>278</v>
      </c>
      <c r="E22" s="36">
        <f>SUM(E14:E21)</f>
        <v>0</v>
      </c>
    </row>
    <row r="24" spans="1:11" ht="21.95" customHeight="1">
      <c r="A24" s="43" t="s">
        <v>279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</row>
    <row r="25" spans="1:11" ht="39.950000000000003" customHeight="1">
      <c r="A25" s="16" t="s">
        <v>88</v>
      </c>
      <c r="B25" s="16" t="s">
        <v>89</v>
      </c>
      <c r="C25" s="16" t="s">
        <v>214</v>
      </c>
      <c r="D25" s="16" t="s">
        <v>280</v>
      </c>
      <c r="E25" s="16" t="s">
        <v>281</v>
      </c>
      <c r="F25" s="16" t="s">
        <v>282</v>
      </c>
      <c r="G25" s="16" t="s">
        <v>283</v>
      </c>
      <c r="H25" s="16" t="s">
        <v>284</v>
      </c>
      <c r="I25" s="16" t="s">
        <v>285</v>
      </c>
      <c r="J25" s="16" t="s">
        <v>286</v>
      </c>
      <c r="K25" s="16" t="s">
        <v>287</v>
      </c>
    </row>
    <row r="26" spans="1:11">
      <c r="A26" s="23">
        <v>1</v>
      </c>
      <c r="B26" s="24" t="s">
        <v>97</v>
      </c>
      <c r="C26" s="25" t="s">
        <v>98</v>
      </c>
      <c r="D26" s="27">
        <f>Component_Properties!D5</f>
        <v>2.016</v>
      </c>
      <c r="E26" s="7">
        <f>Compositions_Master!X8</f>
        <v>0</v>
      </c>
      <c r="F26" s="21">
        <f>IF(SUM($E$14:$E$21)=0,0,(Compositions_Master!H8*$E$14+Compositions_Master!J8*$E$15+Compositions_Master!L8*$E$16+Compositions_Master!N8*$E$17+Compositions_Master!P8*$E$18+Compositions_Master!R8*$E$19+Compositions_Master!T8*$E$20+Compositions_Master!V8*$E$21)/SUM($E$14:$E$21))</f>
        <v>0</v>
      </c>
      <c r="G26" s="34">
        <f>$B$9*E26/100+$E$22*F26/100</f>
        <v>0</v>
      </c>
      <c r="H26" s="21">
        <f>IF(SUM($G$26:$G$77)=0,0,G26/SUM($G$26:$G$77)*100)</f>
        <v>0</v>
      </c>
      <c r="I26" s="7">
        <f>Compositions_Master!F8</f>
        <v>0</v>
      </c>
      <c r="J26" s="20">
        <f>IF(I26=0,IF(H26=0,0,100),ABS(H26-I26)/I26*100)</f>
        <v>0</v>
      </c>
      <c r="K26" s="23" t="str">
        <f>IF(I26=0,IF(H26=0,"N/A","new"),IF(J26&lt;=2,"PASS",IF(J26&lt;=3,"REVIEW","FAIL")))</f>
        <v>N/A</v>
      </c>
    </row>
    <row r="27" spans="1:11">
      <c r="A27" s="23">
        <v>2</v>
      </c>
      <c r="B27" s="24" t="s">
        <v>99</v>
      </c>
      <c r="C27" s="25" t="s">
        <v>100</v>
      </c>
      <c r="D27" s="27">
        <f>Component_Properties!D6</f>
        <v>34.0809</v>
      </c>
      <c r="E27" s="7">
        <f>Compositions_Master!X9</f>
        <v>0</v>
      </c>
      <c r="F27" s="21">
        <f>IF(SUM($E$14:$E$21)=0,0,(Compositions_Master!H9*$E$14+Compositions_Master!J9*$E$15+Compositions_Master!L9*$E$16+Compositions_Master!N9*$E$17+Compositions_Master!P9*$E$18+Compositions_Master!R9*$E$19+Compositions_Master!T9*$E$20+Compositions_Master!V9*$E$21)/SUM($E$14:$E$21))</f>
        <v>0</v>
      </c>
      <c r="G27" s="34">
        <f>$B$9*E27/100+$E$22*F27/100</f>
        <v>0</v>
      </c>
      <c r="H27" s="21">
        <f>IF(SUM($G$26:$G$77)=0,0,G27/SUM($G$26:$G$77)*100)</f>
        <v>0</v>
      </c>
      <c r="I27" s="7">
        <f>Compositions_Master!F9</f>
        <v>0</v>
      </c>
      <c r="J27" s="20">
        <f>IF(I27=0,IF(H27=0,0,100),ABS(H27-I27)/I27*100)</f>
        <v>0</v>
      </c>
      <c r="K27" s="23" t="str">
        <f>IF(I27=0,IF(H27=0,"N/A","new"),IF(J27&lt;=2,"PASS",IF(J27&lt;=3,"REVIEW","FAIL")))</f>
        <v>N/A</v>
      </c>
    </row>
    <row r="28" spans="1:11">
      <c r="A28" s="23">
        <v>3</v>
      </c>
      <c r="B28" s="24" t="s">
        <v>101</v>
      </c>
      <c r="C28" s="25" t="s">
        <v>102</v>
      </c>
      <c r="D28" s="27">
        <f>Component_Properties!D7</f>
        <v>44.009500000000003</v>
      </c>
      <c r="E28" s="7">
        <f>Compositions_Master!X10</f>
        <v>0</v>
      </c>
      <c r="F28" s="21">
        <f>IF(SUM($E$14:$E$21)=0,0,(Compositions_Master!H10*$E$14+Compositions_Master!J10*$E$15+Compositions_Master!L10*$E$16+Compositions_Master!N10*$E$17+Compositions_Master!P10*$E$18+Compositions_Master!R10*$E$19+Compositions_Master!T10*$E$20+Compositions_Master!V10*$E$21)/SUM($E$14:$E$21))</f>
        <v>0</v>
      </c>
      <c r="G28" s="34">
        <f>$B$9*E28/100+$E$22*F28/100</f>
        <v>0</v>
      </c>
      <c r="H28" s="21">
        <f>IF(SUM($G$26:$G$77)=0,0,G28/SUM($G$26:$G$77)*100)</f>
        <v>0</v>
      </c>
      <c r="I28" s="7">
        <f>Compositions_Master!F10</f>
        <v>0</v>
      </c>
      <c r="J28" s="20">
        <f>IF(I28=0,IF(H28=0,0,100),ABS(H28-I28)/I28*100)</f>
        <v>0</v>
      </c>
      <c r="K28" s="23" t="str">
        <f>IF(I28=0,IF(H28=0,"N/A","new"),IF(J28&lt;=2,"PASS",IF(J28&lt;=3,"REVIEW","FAIL")))</f>
        <v>N/A</v>
      </c>
    </row>
    <row r="29" spans="1:11">
      <c r="A29" s="23">
        <v>4</v>
      </c>
      <c r="B29" s="24" t="s">
        <v>103</v>
      </c>
      <c r="C29" s="25" t="s">
        <v>104</v>
      </c>
      <c r="D29" s="27">
        <f>Component_Properties!D8</f>
        <v>28.013400000000001</v>
      </c>
      <c r="E29" s="7">
        <f>Compositions_Master!X11</f>
        <v>0</v>
      </c>
      <c r="F29" s="21">
        <f>IF(SUM($E$14:$E$21)=0,0,(Compositions_Master!H11*$E$14+Compositions_Master!J11*$E$15+Compositions_Master!L11*$E$16+Compositions_Master!N11*$E$17+Compositions_Master!P11*$E$18+Compositions_Master!R11*$E$19+Compositions_Master!T11*$E$20+Compositions_Master!V11*$E$21)/SUM($E$14:$E$21))</f>
        <v>0</v>
      </c>
      <c r="G29" s="34">
        <f>$B$9*E29/100+$E$22*F29/100</f>
        <v>0</v>
      </c>
      <c r="H29" s="21">
        <f>IF(SUM($G$26:$G$77)=0,0,G29/SUM($G$26:$G$77)*100)</f>
        <v>0</v>
      </c>
      <c r="I29" s="7">
        <f>Compositions_Master!F11</f>
        <v>0</v>
      </c>
      <c r="J29" s="20">
        <f>IF(I29=0,IF(H29=0,0,100),ABS(H29-I29)/I29*100)</f>
        <v>0</v>
      </c>
      <c r="K29" s="23" t="str">
        <f>IF(I29=0,IF(H29=0,"N/A","new"),IF(J29&lt;=2,"PASS",IF(J29&lt;=3,"REVIEW","FAIL")))</f>
        <v>N/A</v>
      </c>
    </row>
    <row r="30" spans="1:11">
      <c r="A30" s="23">
        <v>5</v>
      </c>
      <c r="B30" s="24" t="s">
        <v>105</v>
      </c>
      <c r="C30" s="25" t="s">
        <v>106</v>
      </c>
      <c r="D30" s="27">
        <f>Component_Properties!D9</f>
        <v>16.042999999999999</v>
      </c>
      <c r="E30" s="7">
        <f>Compositions_Master!X12</f>
        <v>0</v>
      </c>
      <c r="F30" s="21">
        <f>IF(SUM($E$14:$E$21)=0,0,(Compositions_Master!H12*$E$14+Compositions_Master!J12*$E$15+Compositions_Master!L12*$E$16+Compositions_Master!N12*$E$17+Compositions_Master!P12*$E$18+Compositions_Master!R12*$E$19+Compositions_Master!T12*$E$20+Compositions_Master!V12*$E$21)/SUM($E$14:$E$21))</f>
        <v>0</v>
      </c>
      <c r="G30" s="34">
        <f>$B$9*E30/100+$E$22*F30/100</f>
        <v>0</v>
      </c>
      <c r="H30" s="21">
        <f>IF(SUM($G$26:$G$77)=0,0,G30/SUM($G$26:$G$77)*100)</f>
        <v>0</v>
      </c>
      <c r="I30" s="7">
        <f>Compositions_Master!F12</f>
        <v>0</v>
      </c>
      <c r="J30" s="20">
        <f>IF(I30=0,IF(H30=0,0,100),ABS(H30-I30)/I30*100)</f>
        <v>0</v>
      </c>
      <c r="K30" s="23" t="str">
        <f>IF(I30=0,IF(H30=0,"N/A","new"),IF(J30&lt;=2,"PASS",IF(J30&lt;=3,"REVIEW","FAIL")))</f>
        <v>N/A</v>
      </c>
    </row>
    <row r="31" spans="1:11">
      <c r="A31" s="23">
        <v>6</v>
      </c>
      <c r="B31" s="24" t="s">
        <v>107</v>
      </c>
      <c r="C31" s="25" t="s">
        <v>108</v>
      </c>
      <c r="D31" s="27">
        <f>Component_Properties!D10</f>
        <v>30.07</v>
      </c>
      <c r="E31" s="7">
        <f>Compositions_Master!X13</f>
        <v>0.01</v>
      </c>
      <c r="F31" s="21">
        <f>IF(SUM($E$14:$E$21)=0,0,(Compositions_Master!H13*$E$14+Compositions_Master!J13*$E$15+Compositions_Master!L13*$E$16+Compositions_Master!N13*$E$17+Compositions_Master!P13*$E$18+Compositions_Master!R13*$E$19+Compositions_Master!T13*$E$20+Compositions_Master!V13*$E$21)/SUM($E$14:$E$21))</f>
        <v>0</v>
      </c>
      <c r="G31" s="34">
        <f>$B$9*E31/100+$E$22*F31/100</f>
        <v>4.5630319033171839E-7</v>
      </c>
      <c r="H31" s="21">
        <f>IF(SUM($G$26:$G$77)=0,0,G31/SUM($G$26:$G$77)*100)</f>
        <v>1.0000000000000002E-2</v>
      </c>
      <c r="I31" s="7">
        <f>Compositions_Master!F13</f>
        <v>0</v>
      </c>
      <c r="J31" s="20">
        <f>IF(I31=0,IF(H31=0,0,100),ABS(H31-I31)/I31*100)</f>
        <v>100</v>
      </c>
      <c r="K31" s="23" t="str">
        <f>IF(I31=0,IF(H31=0,"N/A","new"),IF(J31&lt;=2,"PASS",IF(J31&lt;=3,"REVIEW","FAIL")))</f>
        <v>new</v>
      </c>
    </row>
    <row r="32" spans="1:11">
      <c r="A32" s="23">
        <v>7</v>
      </c>
      <c r="B32" s="24" t="s">
        <v>109</v>
      </c>
      <c r="C32" s="25" t="s">
        <v>110</v>
      </c>
      <c r="D32" s="27">
        <f>Component_Properties!D11</f>
        <v>44.097000000000001</v>
      </c>
      <c r="E32" s="7">
        <f>Compositions_Master!X14</f>
        <v>7.0000000000000007E-2</v>
      </c>
      <c r="F32" s="21">
        <f>IF(SUM($E$14:$E$21)=0,0,(Compositions_Master!H14*$E$14+Compositions_Master!J14*$E$15+Compositions_Master!L14*$E$16+Compositions_Master!N14*$E$17+Compositions_Master!P14*$E$18+Compositions_Master!R14*$E$19+Compositions_Master!T14*$E$20+Compositions_Master!V14*$E$21)/SUM($E$14:$E$21))</f>
        <v>0</v>
      </c>
      <c r="G32" s="34">
        <f>$B$9*E32/100+$E$22*F32/100</f>
        <v>3.194122332322029E-6</v>
      </c>
      <c r="H32" s="21">
        <f>IF(SUM($G$26:$G$77)=0,0,G32/SUM($G$26:$G$77)*100)</f>
        <v>7.0000000000000021E-2</v>
      </c>
      <c r="I32" s="7">
        <f>Compositions_Master!F14</f>
        <v>0</v>
      </c>
      <c r="J32" s="20">
        <f>IF(I32=0,IF(H32=0,0,100),ABS(H32-I32)/I32*100)</f>
        <v>100</v>
      </c>
      <c r="K32" s="23" t="str">
        <f>IF(I32=0,IF(H32=0,"N/A","new"),IF(J32&lt;=2,"PASS",IF(J32&lt;=3,"REVIEW","FAIL")))</f>
        <v>new</v>
      </c>
    </row>
    <row r="33" spans="1:11">
      <c r="A33" s="23">
        <v>8</v>
      </c>
      <c r="B33" s="24" t="s">
        <v>111</v>
      </c>
      <c r="C33" s="25" t="s">
        <v>112</v>
      </c>
      <c r="D33" s="27">
        <f>Component_Properties!D12</f>
        <v>58.122999999999998</v>
      </c>
      <c r="E33" s="7">
        <f>Compositions_Master!X15</f>
        <v>0.1</v>
      </c>
      <c r="F33" s="21">
        <f>IF(SUM($E$14:$E$21)=0,0,(Compositions_Master!H15*$E$14+Compositions_Master!J15*$E$15+Compositions_Master!L15*$E$16+Compositions_Master!N15*$E$17+Compositions_Master!P15*$E$18+Compositions_Master!R15*$E$19+Compositions_Master!T15*$E$20+Compositions_Master!V15*$E$21)/SUM($E$14:$E$21))</f>
        <v>0</v>
      </c>
      <c r="G33" s="34">
        <f>$B$9*E33/100+$E$22*F33/100</f>
        <v>4.5630319033171837E-6</v>
      </c>
      <c r="H33" s="21">
        <f>IF(SUM($G$26:$G$77)=0,0,G33/SUM($G$26:$G$77)*100)</f>
        <v>0.10000000000000002</v>
      </c>
      <c r="I33" s="7">
        <f>Compositions_Master!F15</f>
        <v>0</v>
      </c>
      <c r="J33" s="20">
        <f>IF(I33=0,IF(H33=0,0,100),ABS(H33-I33)/I33*100)</f>
        <v>100</v>
      </c>
      <c r="K33" s="23" t="str">
        <f>IF(I33=0,IF(H33=0,"N/A","new"),IF(J33&lt;=2,"PASS",IF(J33&lt;=3,"REVIEW","FAIL")))</f>
        <v>new</v>
      </c>
    </row>
    <row r="34" spans="1:11">
      <c r="A34" s="23">
        <v>9</v>
      </c>
      <c r="B34" s="24" t="s">
        <v>113</v>
      </c>
      <c r="C34" s="25" t="s">
        <v>114</v>
      </c>
      <c r="D34" s="27">
        <f>Component_Properties!D13</f>
        <v>58.122999999999998</v>
      </c>
      <c r="E34" s="7">
        <f>Compositions_Master!X16</f>
        <v>0.45</v>
      </c>
      <c r="F34" s="21">
        <f>IF(SUM($E$14:$E$21)=0,0,(Compositions_Master!H16*$E$14+Compositions_Master!J16*$E$15+Compositions_Master!L16*$E$16+Compositions_Master!N16*$E$17+Compositions_Master!P16*$E$18+Compositions_Master!R16*$E$19+Compositions_Master!T16*$E$20+Compositions_Master!V16*$E$21)/SUM($E$14:$E$21))</f>
        <v>0</v>
      </c>
      <c r="G34" s="34">
        <f>$B$9*E34/100+$E$22*F34/100</f>
        <v>2.0533643564927327E-5</v>
      </c>
      <c r="H34" s="21">
        <f>IF(SUM($G$26:$G$77)=0,0,G34/SUM($G$26:$G$77)*100)</f>
        <v>0.45000000000000012</v>
      </c>
      <c r="I34" s="7">
        <f>Compositions_Master!F16</f>
        <v>0</v>
      </c>
      <c r="J34" s="20">
        <f>IF(I34=0,IF(H34=0,0,100),ABS(H34-I34)/I34*100)</f>
        <v>100</v>
      </c>
      <c r="K34" s="23" t="str">
        <f>IF(I34=0,IF(H34=0,"N/A","new"),IF(J34&lt;=2,"PASS",IF(J34&lt;=3,"REVIEW","FAIL")))</f>
        <v>new</v>
      </c>
    </row>
    <row r="35" spans="1:11">
      <c r="A35" s="23">
        <v>10</v>
      </c>
      <c r="B35" s="24" t="s">
        <v>115</v>
      </c>
      <c r="C35" s="25" t="s">
        <v>116</v>
      </c>
      <c r="D35" s="27">
        <f>Component_Properties!D14</f>
        <v>72.150999999999996</v>
      </c>
      <c r="E35" s="7">
        <f>Compositions_Master!X17</f>
        <v>0</v>
      </c>
      <c r="F35" s="21">
        <f>IF(SUM($E$14:$E$21)=0,0,(Compositions_Master!H17*$E$14+Compositions_Master!J17*$E$15+Compositions_Master!L17*$E$16+Compositions_Master!N17*$E$17+Compositions_Master!P17*$E$18+Compositions_Master!R17*$E$19+Compositions_Master!T17*$E$20+Compositions_Master!V17*$E$21)/SUM($E$14:$E$21))</f>
        <v>0</v>
      </c>
      <c r="G35" s="34">
        <f>$B$9*E35/100+$E$22*F35/100</f>
        <v>0</v>
      </c>
      <c r="H35" s="21">
        <f>IF(SUM($G$26:$G$77)=0,0,G35/SUM($G$26:$G$77)*100)</f>
        <v>0</v>
      </c>
      <c r="I35" s="7">
        <f>Compositions_Master!F17</f>
        <v>0</v>
      </c>
      <c r="J35" s="20">
        <f>IF(I35=0,IF(H35=0,0,100),ABS(H35-I35)/I35*100)</f>
        <v>0</v>
      </c>
      <c r="K35" s="23" t="str">
        <f>IF(I35=0,IF(H35=0,"N/A","new"),IF(J35&lt;=2,"PASS",IF(J35&lt;=3,"REVIEW","FAIL")))</f>
        <v>N/A</v>
      </c>
    </row>
    <row r="36" spans="1:11">
      <c r="A36" s="23">
        <v>11</v>
      </c>
      <c r="B36" s="24" t="s">
        <v>117</v>
      </c>
      <c r="C36" s="25" t="s">
        <v>118</v>
      </c>
      <c r="D36" s="27">
        <f>Component_Properties!D15</f>
        <v>72.150999999999996</v>
      </c>
      <c r="E36" s="7">
        <f>Compositions_Master!X18</f>
        <v>0.44</v>
      </c>
      <c r="F36" s="21">
        <f>IF(SUM($E$14:$E$21)=0,0,(Compositions_Master!H18*$E$14+Compositions_Master!J18*$E$15+Compositions_Master!L18*$E$16+Compositions_Master!N18*$E$17+Compositions_Master!P18*$E$18+Compositions_Master!R18*$E$19+Compositions_Master!T18*$E$20+Compositions_Master!V18*$E$21)/SUM($E$14:$E$21))</f>
        <v>0</v>
      </c>
      <c r="G36" s="34">
        <f>$B$9*E36/100+$E$22*F36/100</f>
        <v>2.0077340374595609E-5</v>
      </c>
      <c r="H36" s="21">
        <f>IF(SUM($G$26:$G$77)=0,0,G36/SUM($G$26:$G$77)*100)</f>
        <v>0.44000000000000011</v>
      </c>
      <c r="I36" s="7">
        <f>Compositions_Master!F18</f>
        <v>0</v>
      </c>
      <c r="J36" s="20">
        <f>IF(I36=0,IF(H36=0,0,100),ABS(H36-I36)/I36*100)</f>
        <v>100</v>
      </c>
      <c r="K36" s="23" t="str">
        <f>IF(I36=0,IF(H36=0,"N/A","new"),IF(J36&lt;=2,"PASS",IF(J36&lt;=3,"REVIEW","FAIL")))</f>
        <v>new</v>
      </c>
    </row>
    <row r="37" spans="1:11">
      <c r="A37" s="23">
        <v>12</v>
      </c>
      <c r="B37" s="24" t="s">
        <v>119</v>
      </c>
      <c r="C37" s="25" t="s">
        <v>120</v>
      </c>
      <c r="D37" s="27">
        <f>Component_Properties!D16</f>
        <v>72.150999999999996</v>
      </c>
      <c r="E37" s="7">
        <f>Compositions_Master!X19</f>
        <v>0.82</v>
      </c>
      <c r="F37" s="21">
        <f>IF(SUM($E$14:$E$21)=0,0,(Compositions_Master!H19*$E$14+Compositions_Master!J19*$E$15+Compositions_Master!L19*$E$16+Compositions_Master!N19*$E$17+Compositions_Master!P19*$E$18+Compositions_Master!R19*$E$19+Compositions_Master!T19*$E$20+Compositions_Master!V19*$E$21)/SUM($E$14:$E$21))</f>
        <v>0</v>
      </c>
      <c r="G37" s="34">
        <f>$B$9*E37/100+$E$22*F37/100</f>
        <v>3.7416861607200899E-5</v>
      </c>
      <c r="H37" s="21">
        <f>IF(SUM($G$26:$G$77)=0,0,G37/SUM($G$26:$G$77)*100)</f>
        <v>0.82000000000000006</v>
      </c>
      <c r="I37" s="7">
        <f>Compositions_Master!F19</f>
        <v>0</v>
      </c>
      <c r="J37" s="20">
        <f>IF(I37=0,IF(H37=0,0,100),ABS(H37-I37)/I37*100)</f>
        <v>100</v>
      </c>
      <c r="K37" s="23" t="str">
        <f>IF(I37=0,IF(H37=0,"N/A","new"),IF(J37&lt;=2,"PASS",IF(J37&lt;=3,"REVIEW","FAIL")))</f>
        <v>new</v>
      </c>
    </row>
    <row r="38" spans="1:11">
      <c r="A38" s="23">
        <v>13</v>
      </c>
      <c r="B38" s="24" t="s">
        <v>121</v>
      </c>
      <c r="C38" s="25" t="s">
        <v>122</v>
      </c>
      <c r="D38" s="27">
        <f>Component_Properties!D17</f>
        <v>86.177000000000007</v>
      </c>
      <c r="E38" s="7">
        <f>Compositions_Master!X20</f>
        <v>3.71</v>
      </c>
      <c r="F38" s="21">
        <f>IF(SUM($E$14:$E$21)=0,0,(Compositions_Master!H20*$E$14+Compositions_Master!J20*$E$15+Compositions_Master!L20*$E$16+Compositions_Master!N20*$E$17+Compositions_Master!P20*$E$18+Compositions_Master!R20*$E$19+Compositions_Master!T20*$E$20+Compositions_Master!V20*$E$21)/SUM($E$14:$E$21))</f>
        <v>0</v>
      </c>
      <c r="G38" s="34">
        <f>$B$9*E38/100+$E$22*F38/100</f>
        <v>1.6928848361306753E-4</v>
      </c>
      <c r="H38" s="21">
        <f>IF(SUM($G$26:$G$77)=0,0,G38/SUM($G$26:$G$77)*100)</f>
        <v>3.7100000000000009</v>
      </c>
      <c r="I38" s="7">
        <f>Compositions_Master!F20</f>
        <v>0</v>
      </c>
      <c r="J38" s="20">
        <f>IF(I38=0,IF(H38=0,0,100),ABS(H38-I38)/I38*100)</f>
        <v>100</v>
      </c>
      <c r="K38" s="23" t="str">
        <f>IF(I38=0,IF(H38=0,"N/A","new"),IF(J38&lt;=2,"PASS",IF(J38&lt;=3,"REVIEW","FAIL")))</f>
        <v>new</v>
      </c>
    </row>
    <row r="39" spans="1:11">
      <c r="A39" s="23">
        <v>14</v>
      </c>
      <c r="B39" s="24" t="s">
        <v>123</v>
      </c>
      <c r="C39" s="25" t="s">
        <v>124</v>
      </c>
      <c r="D39" s="27">
        <f>Component_Properties!D18</f>
        <v>84.16</v>
      </c>
      <c r="E39" s="7">
        <f>Compositions_Master!X21</f>
        <v>0.79</v>
      </c>
      <c r="F39" s="21">
        <f>IF(SUM($E$14:$E$21)=0,0,(Compositions_Master!H21*$E$14+Compositions_Master!J21*$E$15+Compositions_Master!L21*$E$16+Compositions_Master!N21*$E$17+Compositions_Master!P21*$E$18+Compositions_Master!R21*$E$19+Compositions_Master!T21*$E$20+Compositions_Master!V21*$E$21)/SUM($E$14:$E$21))</f>
        <v>0</v>
      </c>
      <c r="G39" s="34">
        <f>$B$9*E39/100+$E$22*F39/100</f>
        <v>3.6047952036205752E-5</v>
      </c>
      <c r="H39" s="21">
        <f>IF(SUM($G$26:$G$77)=0,0,G39/SUM($G$26:$G$77)*100)</f>
        <v>0.79000000000000026</v>
      </c>
      <c r="I39" s="7">
        <f>Compositions_Master!F21</f>
        <v>0</v>
      </c>
      <c r="J39" s="20">
        <f>IF(I39=0,IF(H39=0,0,100),ABS(H39-I39)/I39*100)</f>
        <v>100</v>
      </c>
      <c r="K39" s="23" t="str">
        <f>IF(I39=0,IF(H39=0,"N/A","new"),IF(J39&lt;=2,"PASS",IF(J39&lt;=3,"REVIEW","FAIL")))</f>
        <v>new</v>
      </c>
    </row>
    <row r="40" spans="1:11">
      <c r="A40" s="23">
        <v>15</v>
      </c>
      <c r="B40" s="24" t="s">
        <v>125</v>
      </c>
      <c r="C40" s="25" t="s">
        <v>125</v>
      </c>
      <c r="D40" s="27">
        <f>Component_Properties!D19</f>
        <v>78.11</v>
      </c>
      <c r="E40" s="7">
        <f>Compositions_Master!X22</f>
        <v>0.23</v>
      </c>
      <c r="F40" s="21">
        <f>IF(SUM($E$14:$E$21)=0,0,(Compositions_Master!H22*$E$14+Compositions_Master!J22*$E$15+Compositions_Master!L22*$E$16+Compositions_Master!N22*$E$17+Compositions_Master!P22*$E$18+Compositions_Master!R22*$E$19+Compositions_Master!T22*$E$20+Compositions_Master!V22*$E$21)/SUM($E$14:$E$21))</f>
        <v>0</v>
      </c>
      <c r="G40" s="34">
        <f>$B$9*E40/100+$E$22*F40/100</f>
        <v>1.0494973377629522E-5</v>
      </c>
      <c r="H40" s="21">
        <f>IF(SUM($G$26:$G$77)=0,0,G40/SUM($G$26:$G$77)*100)</f>
        <v>0.23000000000000004</v>
      </c>
      <c r="I40" s="7">
        <f>Compositions_Master!F22</f>
        <v>0</v>
      </c>
      <c r="J40" s="20">
        <f>IF(I40=0,IF(H40=0,0,100),ABS(H40-I40)/I40*100)</f>
        <v>100</v>
      </c>
      <c r="K40" s="23" t="str">
        <f>IF(I40=0,IF(H40=0,"N/A","new"),IF(J40&lt;=2,"PASS",IF(J40&lt;=3,"REVIEW","FAIL")))</f>
        <v>new</v>
      </c>
    </row>
    <row r="41" spans="1:11">
      <c r="A41" s="23">
        <v>16</v>
      </c>
      <c r="B41" s="24" t="s">
        <v>126</v>
      </c>
      <c r="C41" s="25" t="s">
        <v>127</v>
      </c>
      <c r="D41" s="27">
        <f>Component_Properties!D20</f>
        <v>84.16</v>
      </c>
      <c r="E41" s="7">
        <f>Compositions_Master!X23</f>
        <v>0.57999999999999996</v>
      </c>
      <c r="F41" s="21">
        <f>IF(SUM($E$14:$E$21)=0,0,(Compositions_Master!H23*$E$14+Compositions_Master!J23*$E$15+Compositions_Master!L23*$E$16+Compositions_Master!N23*$E$17+Compositions_Master!P23*$E$18+Compositions_Master!R23*$E$19+Compositions_Master!T23*$E$20+Compositions_Master!V23*$E$21)/SUM($E$14:$E$21))</f>
        <v>0</v>
      </c>
      <c r="G41" s="34">
        <f>$B$9*E41/100+$E$22*F41/100</f>
        <v>2.646558503923966E-5</v>
      </c>
      <c r="H41" s="21">
        <f>IF(SUM($G$26:$G$77)=0,0,G41/SUM($G$26:$G$77)*100)</f>
        <v>0.58000000000000007</v>
      </c>
      <c r="I41" s="7">
        <f>Compositions_Master!F23</f>
        <v>0</v>
      </c>
      <c r="J41" s="20">
        <f>IF(I41=0,IF(H41=0,0,100),ABS(H41-I41)/I41*100)</f>
        <v>100</v>
      </c>
      <c r="K41" s="23" t="str">
        <f>IF(I41=0,IF(H41=0,"N/A","new"),IF(J41&lt;=2,"PASS",IF(J41&lt;=3,"REVIEW","FAIL")))</f>
        <v>new</v>
      </c>
    </row>
    <row r="42" spans="1:11">
      <c r="A42" s="23">
        <v>17</v>
      </c>
      <c r="B42" s="24" t="s">
        <v>128</v>
      </c>
      <c r="C42" s="25" t="s">
        <v>129</v>
      </c>
      <c r="D42" s="27">
        <f>Component_Properties!D21</f>
        <v>100.20399999999999</v>
      </c>
      <c r="E42" s="7">
        <f>Compositions_Master!X24</f>
        <v>5.35</v>
      </c>
      <c r="F42" s="21">
        <f>IF(SUM($E$14:$E$21)=0,0,(Compositions_Master!H24*$E$14+Compositions_Master!J24*$E$15+Compositions_Master!L24*$E$16+Compositions_Master!N24*$E$17+Compositions_Master!P24*$E$18+Compositions_Master!R24*$E$19+Compositions_Master!T24*$E$20+Compositions_Master!V24*$E$21)/SUM($E$14:$E$21))</f>
        <v>0</v>
      </c>
      <c r="G42" s="34">
        <f>$B$9*E42/100+$E$22*F42/100</f>
        <v>2.4412220682746931E-4</v>
      </c>
      <c r="H42" s="21">
        <f>IF(SUM($G$26:$G$77)=0,0,G42/SUM($G$26:$G$77)*100)</f>
        <v>5.3500000000000005</v>
      </c>
      <c r="I42" s="7">
        <f>Compositions_Master!F24</f>
        <v>0</v>
      </c>
      <c r="J42" s="20">
        <f>IF(I42=0,IF(H42=0,0,100),ABS(H42-I42)/I42*100)</f>
        <v>100</v>
      </c>
      <c r="K42" s="23" t="str">
        <f>IF(I42=0,IF(H42=0,"N/A","new"),IF(J42&lt;=2,"PASS",IF(J42&lt;=3,"REVIEW","FAIL")))</f>
        <v>new</v>
      </c>
    </row>
    <row r="43" spans="1:11">
      <c r="A43" s="23">
        <v>18</v>
      </c>
      <c r="B43" s="24" t="s">
        <v>130</v>
      </c>
      <c r="C43" s="25" t="s">
        <v>131</v>
      </c>
      <c r="D43" s="27">
        <f>Component_Properties!D22</f>
        <v>98.19</v>
      </c>
      <c r="E43" s="7">
        <f>Compositions_Master!X25</f>
        <v>1.26</v>
      </c>
      <c r="F43" s="21">
        <f>IF(SUM($E$14:$E$21)=0,0,(Compositions_Master!H25*$E$14+Compositions_Master!J25*$E$15+Compositions_Master!L25*$E$16+Compositions_Master!N25*$E$17+Compositions_Master!P25*$E$18+Compositions_Master!R25*$E$19+Compositions_Master!T25*$E$20+Compositions_Master!V25*$E$21)/SUM($E$14:$E$21))</f>
        <v>0</v>
      </c>
      <c r="G43" s="34">
        <f>$B$9*E43/100+$E$22*F43/100</f>
        <v>5.7494201981796511E-5</v>
      </c>
      <c r="H43" s="21">
        <f>IF(SUM($G$26:$G$77)=0,0,G43/SUM($G$26:$G$77)*100)</f>
        <v>1.2600000000000002</v>
      </c>
      <c r="I43" s="7">
        <f>Compositions_Master!F25</f>
        <v>0</v>
      </c>
      <c r="J43" s="20">
        <f>IF(I43=0,IF(H43=0,0,100),ABS(H43-I43)/I43*100)</f>
        <v>100</v>
      </c>
      <c r="K43" s="23" t="str">
        <f>IF(I43=0,IF(H43=0,"N/A","new"),IF(J43&lt;=2,"PASS",IF(J43&lt;=3,"REVIEW","FAIL")))</f>
        <v>new</v>
      </c>
    </row>
    <row r="44" spans="1:11">
      <c r="A44" s="23">
        <v>19</v>
      </c>
      <c r="B44" s="24" t="s">
        <v>132</v>
      </c>
      <c r="C44" s="25" t="s">
        <v>132</v>
      </c>
      <c r="D44" s="27">
        <f>Component_Properties!D23</f>
        <v>92.14</v>
      </c>
      <c r="E44" s="7">
        <f>Compositions_Master!X26</f>
        <v>0.98</v>
      </c>
      <c r="F44" s="21">
        <f>IF(SUM($E$14:$E$21)=0,0,(Compositions_Master!H26*$E$14+Compositions_Master!J26*$E$15+Compositions_Master!L26*$E$16+Compositions_Master!N26*$E$17+Compositions_Master!P26*$E$18+Compositions_Master!R26*$E$19+Compositions_Master!T26*$E$20+Compositions_Master!V26*$E$21)/SUM($E$14:$E$21))</f>
        <v>0</v>
      </c>
      <c r="G44" s="34">
        <f>$B$9*E44/100+$E$22*F44/100</f>
        <v>4.4717712652508395E-5</v>
      </c>
      <c r="H44" s="21">
        <f>IF(SUM($G$26:$G$77)=0,0,G44/SUM($G$26:$G$77)*100)</f>
        <v>0.98000000000000009</v>
      </c>
      <c r="I44" s="7">
        <f>Compositions_Master!F26</f>
        <v>0</v>
      </c>
      <c r="J44" s="20">
        <f>IF(I44=0,IF(H44=0,0,100),ABS(H44-I44)/I44*100)</f>
        <v>100</v>
      </c>
      <c r="K44" s="23" t="str">
        <f>IF(I44=0,IF(H44=0,"N/A","new"),IF(J44&lt;=2,"PASS",IF(J44&lt;=3,"REVIEW","FAIL")))</f>
        <v>new</v>
      </c>
    </row>
    <row r="45" spans="1:11">
      <c r="A45" s="23">
        <v>20</v>
      </c>
      <c r="B45" s="24" t="s">
        <v>133</v>
      </c>
      <c r="C45" s="25" t="s">
        <v>134</v>
      </c>
      <c r="D45" s="27">
        <f>Component_Properties!D24</f>
        <v>114.23099999999999</v>
      </c>
      <c r="E45" s="7">
        <f>Compositions_Master!X27</f>
        <v>6.48</v>
      </c>
      <c r="F45" s="21">
        <f>IF(SUM($E$14:$E$21)=0,0,(Compositions_Master!H27*$E$14+Compositions_Master!J27*$E$15+Compositions_Master!L27*$E$16+Compositions_Master!N27*$E$17+Compositions_Master!P27*$E$18+Compositions_Master!R27*$E$19+Compositions_Master!T27*$E$20+Compositions_Master!V27*$E$21)/SUM($E$14:$E$21))</f>
        <v>0</v>
      </c>
      <c r="G45" s="34">
        <f>$B$9*E45/100+$E$22*F45/100</f>
        <v>2.9568446733495356E-4</v>
      </c>
      <c r="H45" s="21">
        <f>IF(SUM($G$26:$G$77)=0,0,G45/SUM($G$26:$G$77)*100)</f>
        <v>6.4800000000000022</v>
      </c>
      <c r="I45" s="7">
        <f>Compositions_Master!F27</f>
        <v>0</v>
      </c>
      <c r="J45" s="20">
        <f>IF(I45=0,IF(H45=0,0,100),ABS(H45-I45)/I45*100)</f>
        <v>100</v>
      </c>
      <c r="K45" s="23" t="str">
        <f>IF(I45=0,IF(H45=0,"N/A","new"),IF(J45&lt;=2,"PASS",IF(J45&lt;=3,"REVIEW","FAIL")))</f>
        <v>new</v>
      </c>
    </row>
    <row r="46" spans="1:11">
      <c r="A46" s="23">
        <v>21</v>
      </c>
      <c r="B46" s="24" t="s">
        <v>135</v>
      </c>
      <c r="C46" s="25" t="s">
        <v>136</v>
      </c>
      <c r="D46" s="27">
        <f>Component_Properties!D25</f>
        <v>106.17</v>
      </c>
      <c r="E46" s="7">
        <f>Compositions_Master!X28</f>
        <v>0.73</v>
      </c>
      <c r="F46" s="21">
        <f>IF(SUM($E$14:$E$21)=0,0,(Compositions_Master!H28*$E$14+Compositions_Master!J28*$E$15+Compositions_Master!L28*$E$16+Compositions_Master!N28*$E$17+Compositions_Master!P28*$E$18+Compositions_Master!R28*$E$19+Compositions_Master!T28*$E$20+Compositions_Master!V28*$E$21)/SUM($E$14:$E$21))</f>
        <v>0</v>
      </c>
      <c r="G46" s="34">
        <f>$B$9*E46/100+$E$22*F46/100</f>
        <v>3.3310132894215439E-5</v>
      </c>
      <c r="H46" s="21">
        <f>IF(SUM($G$26:$G$77)=0,0,G46/SUM($G$26:$G$77)*100)</f>
        <v>0.73000000000000009</v>
      </c>
      <c r="I46" s="7">
        <f>Compositions_Master!F28</f>
        <v>0</v>
      </c>
      <c r="J46" s="20">
        <f>IF(I46=0,IF(H46=0,0,100),ABS(H46-I46)/I46*100)</f>
        <v>100</v>
      </c>
      <c r="K46" s="23" t="str">
        <f>IF(I46=0,IF(H46=0,"N/A","new"),IF(J46&lt;=2,"PASS",IF(J46&lt;=3,"REVIEW","FAIL")))</f>
        <v>new</v>
      </c>
    </row>
    <row r="47" spans="1:11">
      <c r="A47" s="23">
        <v>22</v>
      </c>
      <c r="B47" s="24" t="s">
        <v>137</v>
      </c>
      <c r="C47" s="25" t="s">
        <v>138</v>
      </c>
      <c r="D47" s="27">
        <f>Component_Properties!D26</f>
        <v>106.17</v>
      </c>
      <c r="E47" s="7">
        <f>Compositions_Master!X29</f>
        <v>1.38</v>
      </c>
      <c r="F47" s="21">
        <f>IF(SUM($E$14:$E$21)=0,0,(Compositions_Master!H29*$E$14+Compositions_Master!J29*$E$15+Compositions_Master!L29*$E$16+Compositions_Master!N29*$E$17+Compositions_Master!P29*$E$18+Compositions_Master!R29*$E$19+Compositions_Master!T29*$E$20+Compositions_Master!V29*$E$21)/SUM($E$14:$E$21))</f>
        <v>0</v>
      </c>
      <c r="G47" s="34">
        <f>$B$9*E47/100+$E$22*F47/100</f>
        <v>6.2969840265777124E-5</v>
      </c>
      <c r="H47" s="21">
        <f>IF(SUM($G$26:$G$77)=0,0,G47/SUM($G$26:$G$77)*100)</f>
        <v>1.38</v>
      </c>
      <c r="I47" s="7">
        <f>Compositions_Master!F29</f>
        <v>0</v>
      </c>
      <c r="J47" s="20">
        <f>IF(I47=0,IF(H47=0,0,100),ABS(H47-I47)/I47*100)</f>
        <v>100</v>
      </c>
      <c r="K47" s="23" t="str">
        <f>IF(I47=0,IF(H47=0,"N/A","new"),IF(J47&lt;=2,"PASS",IF(J47&lt;=3,"REVIEW","FAIL")))</f>
        <v>new</v>
      </c>
    </row>
    <row r="48" spans="1:11">
      <c r="A48" s="23">
        <v>23</v>
      </c>
      <c r="B48" s="24" t="s">
        <v>139</v>
      </c>
      <c r="C48" s="25" t="s">
        <v>140</v>
      </c>
      <c r="D48" s="27">
        <f>Component_Properties!D27</f>
        <v>106.17</v>
      </c>
      <c r="E48" s="7">
        <f>Compositions_Master!X30</f>
        <v>0.68</v>
      </c>
      <c r="F48" s="21">
        <f>IF(SUM($E$14:$E$21)=0,0,(Compositions_Master!H30*$E$14+Compositions_Master!J30*$E$15+Compositions_Master!L30*$E$16+Compositions_Master!N30*$E$17+Compositions_Master!P30*$E$18+Compositions_Master!R30*$E$19+Compositions_Master!T30*$E$20+Compositions_Master!V30*$E$21)/SUM($E$14:$E$21))</f>
        <v>0</v>
      </c>
      <c r="G48" s="34">
        <f>$B$9*E48/100+$E$22*F48/100</f>
        <v>3.1028616942556851E-5</v>
      </c>
      <c r="H48" s="21">
        <f>IF(SUM($G$26:$G$77)=0,0,G48/SUM($G$26:$G$77)*100)</f>
        <v>0.68000000000000027</v>
      </c>
      <c r="I48" s="7">
        <f>Compositions_Master!F30</f>
        <v>0</v>
      </c>
      <c r="J48" s="20">
        <f>IF(I48=0,IF(H48=0,0,100),ABS(H48-I48)/I48*100)</f>
        <v>100</v>
      </c>
      <c r="K48" s="23" t="str">
        <f>IF(I48=0,IF(H48=0,"N/A","new"),IF(J48&lt;=2,"PASS",IF(J48&lt;=3,"REVIEW","FAIL")))</f>
        <v>new</v>
      </c>
    </row>
    <row r="49" spans="1:11">
      <c r="A49" s="23">
        <v>24</v>
      </c>
      <c r="B49" s="24" t="s">
        <v>141</v>
      </c>
      <c r="C49" s="25" t="s">
        <v>142</v>
      </c>
      <c r="D49" s="27">
        <f>Component_Properties!D28</f>
        <v>128.25800000000001</v>
      </c>
      <c r="E49" s="7">
        <f>Compositions_Master!X31</f>
        <v>5.9</v>
      </c>
      <c r="F49" s="21">
        <f>IF(SUM($E$14:$E$21)=0,0,(Compositions_Master!H31*$E$14+Compositions_Master!J31*$E$15+Compositions_Master!L31*$E$16+Compositions_Master!N31*$E$17+Compositions_Master!P31*$E$18+Compositions_Master!R31*$E$19+Compositions_Master!T31*$E$20+Compositions_Master!V31*$E$21)/SUM($E$14:$E$21))</f>
        <v>0</v>
      </c>
      <c r="G49" s="34">
        <f>$B$9*E49/100+$E$22*F49/100</f>
        <v>2.6921888229571386E-4</v>
      </c>
      <c r="H49" s="21">
        <f>IF(SUM($G$26:$G$77)=0,0,G49/SUM($G$26:$G$77)*100)</f>
        <v>5.9000000000000021</v>
      </c>
      <c r="I49" s="7">
        <f>Compositions_Master!F31</f>
        <v>0</v>
      </c>
      <c r="J49" s="20">
        <f>IF(I49=0,IF(H49=0,0,100),ABS(H49-I49)/I49*100)</f>
        <v>100</v>
      </c>
      <c r="K49" s="23" t="str">
        <f>IF(I49=0,IF(H49=0,"N/A","new"),IF(J49&lt;=2,"PASS",IF(J49&lt;=3,"REVIEW","FAIL")))</f>
        <v>new</v>
      </c>
    </row>
    <row r="50" spans="1:11">
      <c r="A50" s="23">
        <v>25</v>
      </c>
      <c r="B50" s="24" t="s">
        <v>143</v>
      </c>
      <c r="C50" s="25" t="s">
        <v>144</v>
      </c>
      <c r="D50" s="27">
        <f>Component_Properties!D29</f>
        <v>120.19499999999999</v>
      </c>
      <c r="E50" s="7">
        <f>Compositions_Master!X32</f>
        <v>0.92</v>
      </c>
      <c r="F50" s="21">
        <f>IF(SUM($E$14:$E$21)=0,0,(Compositions_Master!H32*$E$14+Compositions_Master!J32*$E$15+Compositions_Master!L32*$E$16+Compositions_Master!N32*$E$17+Compositions_Master!P32*$E$18+Compositions_Master!R32*$E$19+Compositions_Master!T32*$E$20+Compositions_Master!V32*$E$21)/SUM($E$14:$E$21))</f>
        <v>0</v>
      </c>
      <c r="G50" s="34">
        <f>$B$9*E50/100+$E$22*F50/100</f>
        <v>4.1979893510518089E-5</v>
      </c>
      <c r="H50" s="21">
        <f>IF(SUM($G$26:$G$77)=0,0,G50/SUM($G$26:$G$77)*100)</f>
        <v>0.92000000000000015</v>
      </c>
      <c r="I50" s="7">
        <f>Compositions_Master!F32</f>
        <v>0</v>
      </c>
      <c r="J50" s="20">
        <f>IF(I50=0,IF(H50=0,0,100),ABS(H50-I50)/I50*100)</f>
        <v>100</v>
      </c>
      <c r="K50" s="23" t="str">
        <f>IF(I50=0,IF(H50=0,"N/A","new"),IF(J50&lt;=2,"PASS",IF(J50&lt;=3,"REVIEW","FAIL")))</f>
        <v>new</v>
      </c>
    </row>
    <row r="51" spans="1:11">
      <c r="A51" s="23">
        <v>26</v>
      </c>
      <c r="B51" s="24" t="s">
        <v>145</v>
      </c>
      <c r="C51" s="25" t="s">
        <v>146</v>
      </c>
      <c r="D51" s="27">
        <f>Component_Properties!D30</f>
        <v>142.285</v>
      </c>
      <c r="E51" s="7">
        <f>Compositions_Master!X33</f>
        <v>7.2</v>
      </c>
      <c r="F51" s="21">
        <f>IF(SUM($E$14:$E$21)=0,0,(Compositions_Master!H33*$E$14+Compositions_Master!J33*$E$15+Compositions_Master!L33*$E$16+Compositions_Master!N33*$E$17+Compositions_Master!P33*$E$18+Compositions_Master!R33*$E$19+Compositions_Master!T33*$E$20+Compositions_Master!V33*$E$21)/SUM($E$14:$E$21))</f>
        <v>0</v>
      </c>
      <c r="G51" s="34">
        <f>$B$9*E51/100+$E$22*F51/100</f>
        <v>3.2853829703883723E-4</v>
      </c>
      <c r="H51" s="21">
        <f>IF(SUM($G$26:$G$77)=0,0,G51/SUM($G$26:$G$77)*100)</f>
        <v>7.200000000000002</v>
      </c>
      <c r="I51" s="7">
        <f>Compositions_Master!F33</f>
        <v>0</v>
      </c>
      <c r="J51" s="20">
        <f>IF(I51=0,IF(H51=0,0,100),ABS(H51-I51)/I51*100)</f>
        <v>100</v>
      </c>
      <c r="K51" s="23" t="str">
        <f>IF(I51=0,IF(H51=0,"N/A","new"),IF(J51&lt;=2,"PASS",IF(J51&lt;=3,"REVIEW","FAIL")))</f>
        <v>new</v>
      </c>
    </row>
    <row r="52" spans="1:11">
      <c r="A52" s="23">
        <v>27</v>
      </c>
      <c r="B52" s="24" t="s">
        <v>147</v>
      </c>
      <c r="C52" s="25" t="s">
        <v>148</v>
      </c>
      <c r="D52" s="27">
        <f>Component_Properties!D31</f>
        <v>156</v>
      </c>
      <c r="E52" s="7">
        <f>Compositions_Master!X34</f>
        <v>7.11</v>
      </c>
      <c r="F52" s="21">
        <f>IF(SUM($E$14:$E$21)=0,0,(Compositions_Master!H34*$E$14+Compositions_Master!J34*$E$15+Compositions_Master!L34*$E$16+Compositions_Master!N34*$E$17+Compositions_Master!P34*$E$18+Compositions_Master!R34*$E$19+Compositions_Master!T34*$E$20+Compositions_Master!V34*$E$21)/SUM($E$14:$E$21))</f>
        <v>0</v>
      </c>
      <c r="G52" s="34">
        <f>$B$9*E52/100+$E$22*F52/100</f>
        <v>3.2443156832585174E-4</v>
      </c>
      <c r="H52" s="21">
        <f>IF(SUM($G$26:$G$77)=0,0,G52/SUM($G$26:$G$77)*100)</f>
        <v>7.1100000000000012</v>
      </c>
      <c r="I52" s="7">
        <f>Compositions_Master!F34</f>
        <v>0</v>
      </c>
      <c r="J52" s="20">
        <f>IF(I52=0,IF(H52=0,0,100),ABS(H52-I52)/I52*100)</f>
        <v>100</v>
      </c>
      <c r="K52" s="23" t="str">
        <f>IF(I52=0,IF(H52=0,"N/A","new"),IF(J52&lt;=2,"PASS",IF(J52&lt;=3,"REVIEW","FAIL")))</f>
        <v>new</v>
      </c>
    </row>
    <row r="53" spans="1:11">
      <c r="A53" s="23">
        <v>28</v>
      </c>
      <c r="B53" s="24" t="s">
        <v>149</v>
      </c>
      <c r="C53" s="25" t="s">
        <v>150</v>
      </c>
      <c r="D53" s="27">
        <f>Component_Properties!D32</f>
        <v>170</v>
      </c>
      <c r="E53" s="7">
        <f>Compositions_Master!X35</f>
        <v>5.92</v>
      </c>
      <c r="F53" s="21">
        <f>IF(SUM($E$14:$E$21)=0,0,(Compositions_Master!H35*$E$14+Compositions_Master!J35*$E$15+Compositions_Master!L35*$E$16+Compositions_Master!N35*$E$17+Compositions_Master!P35*$E$18+Compositions_Master!R35*$E$19+Compositions_Master!T35*$E$20+Compositions_Master!V35*$E$21)/SUM($E$14:$E$21))</f>
        <v>0</v>
      </c>
      <c r="G53" s="34">
        <f>$B$9*E53/100+$E$22*F53/100</f>
        <v>2.7013148867637726E-4</v>
      </c>
      <c r="H53" s="21">
        <f>IF(SUM($G$26:$G$77)=0,0,G53/SUM($G$26:$G$77)*100)</f>
        <v>5.9200000000000008</v>
      </c>
      <c r="I53" s="7">
        <f>Compositions_Master!F35</f>
        <v>0</v>
      </c>
      <c r="J53" s="20">
        <f>IF(I53=0,IF(H53=0,0,100),ABS(H53-I53)/I53*100)</f>
        <v>100</v>
      </c>
      <c r="K53" s="23" t="str">
        <f>IF(I53=0,IF(H53=0,"N/A","new"),IF(J53&lt;=2,"PASS",IF(J53&lt;=3,"REVIEW","FAIL")))</f>
        <v>new</v>
      </c>
    </row>
    <row r="54" spans="1:11">
      <c r="A54" s="23">
        <v>29</v>
      </c>
      <c r="B54" s="24" t="s">
        <v>151</v>
      </c>
      <c r="C54" s="25" t="s">
        <v>152</v>
      </c>
      <c r="D54" s="27">
        <f>Component_Properties!D33</f>
        <v>184</v>
      </c>
      <c r="E54" s="7">
        <f>Compositions_Master!X36</f>
        <v>5.27</v>
      </c>
      <c r="F54" s="21">
        <f>IF(SUM($E$14:$E$21)=0,0,(Compositions_Master!H36*$E$14+Compositions_Master!J36*$E$15+Compositions_Master!L36*$E$16+Compositions_Master!N36*$E$17+Compositions_Master!P36*$E$18+Compositions_Master!R36*$E$19+Compositions_Master!T36*$E$20+Compositions_Master!V36*$E$21)/SUM($E$14:$E$21))</f>
        <v>0</v>
      </c>
      <c r="G54" s="34">
        <f>$B$9*E54/100+$E$22*F54/100</f>
        <v>2.4047178130481554E-4</v>
      </c>
      <c r="H54" s="21">
        <f>IF(SUM($G$26:$G$77)=0,0,G54/SUM($G$26:$G$77)*100)</f>
        <v>5.2700000000000005</v>
      </c>
      <c r="I54" s="7">
        <f>Compositions_Master!F36</f>
        <v>0</v>
      </c>
      <c r="J54" s="20">
        <f>IF(I54=0,IF(H54=0,0,100),ABS(H54-I54)/I54*100)</f>
        <v>100</v>
      </c>
      <c r="K54" s="23" t="str">
        <f>IF(I54=0,IF(H54=0,"N/A","new"),IF(J54&lt;=2,"PASS",IF(J54&lt;=3,"REVIEW","FAIL")))</f>
        <v>new</v>
      </c>
    </row>
    <row r="55" spans="1:11">
      <c r="A55" s="23">
        <v>30</v>
      </c>
      <c r="B55" s="24" t="s">
        <v>153</v>
      </c>
      <c r="C55" s="25" t="s">
        <v>154</v>
      </c>
      <c r="D55" s="27">
        <f>Component_Properties!D34</f>
        <v>198</v>
      </c>
      <c r="E55" s="7">
        <f>Compositions_Master!X37</f>
        <v>4.6100000000000003</v>
      </c>
      <c r="F55" s="21">
        <f>IF(SUM($E$14:$E$21)=0,0,(Compositions_Master!H37*$E$14+Compositions_Master!J37*$E$15+Compositions_Master!L37*$E$16+Compositions_Master!N37*$E$17+Compositions_Master!P37*$E$18+Compositions_Master!R37*$E$19+Compositions_Master!T37*$E$20+Compositions_Master!V37*$E$21)/SUM($E$14:$E$21))</f>
        <v>0</v>
      </c>
      <c r="G55" s="34">
        <f>$B$9*E55/100+$E$22*F55/100</f>
        <v>2.1035577074292219E-4</v>
      </c>
      <c r="H55" s="21">
        <f>IF(SUM($G$26:$G$77)=0,0,G55/SUM($G$26:$G$77)*100)</f>
        <v>4.6100000000000012</v>
      </c>
      <c r="I55" s="7">
        <f>Compositions_Master!F37</f>
        <v>0</v>
      </c>
      <c r="J55" s="20">
        <f>IF(I55=0,IF(H55=0,0,100),ABS(H55-I55)/I55*100)</f>
        <v>100</v>
      </c>
      <c r="K55" s="23" t="str">
        <f>IF(I55=0,IF(H55=0,"N/A","new"),IF(J55&lt;=2,"PASS",IF(J55&lt;=3,"REVIEW","FAIL")))</f>
        <v>new</v>
      </c>
    </row>
    <row r="56" spans="1:11">
      <c r="A56" s="23">
        <v>31</v>
      </c>
      <c r="B56" s="24" t="s">
        <v>155</v>
      </c>
      <c r="C56" s="25" t="s">
        <v>156</v>
      </c>
      <c r="D56" s="27">
        <f>Component_Properties!D35</f>
        <v>212</v>
      </c>
      <c r="E56" s="7">
        <f>Compositions_Master!X38</f>
        <v>4.1399999999999997</v>
      </c>
      <c r="F56" s="21">
        <f>IF(SUM($E$14:$E$21)=0,0,(Compositions_Master!H38*$E$14+Compositions_Master!J38*$E$15+Compositions_Master!L38*$E$16+Compositions_Master!N38*$E$17+Compositions_Master!P38*$E$18+Compositions_Master!R38*$E$19+Compositions_Master!T38*$E$20+Compositions_Master!V38*$E$21)/SUM($E$14:$E$21))</f>
        <v>0</v>
      </c>
      <c r="G56" s="34">
        <f>$B$9*E56/100+$E$22*F56/100</f>
        <v>1.8890952079733138E-4</v>
      </c>
      <c r="H56" s="21">
        <f>IF(SUM($G$26:$G$77)=0,0,G56/SUM($G$26:$G$77)*100)</f>
        <v>4.1400000000000006</v>
      </c>
      <c r="I56" s="7">
        <f>Compositions_Master!F38</f>
        <v>0</v>
      </c>
      <c r="J56" s="20">
        <f>IF(I56=0,IF(H56=0,0,100),ABS(H56-I56)/I56*100)</f>
        <v>100</v>
      </c>
      <c r="K56" s="23" t="str">
        <f>IF(I56=0,IF(H56=0,"N/A","new"),IF(J56&lt;=2,"PASS",IF(J56&lt;=3,"REVIEW","FAIL")))</f>
        <v>new</v>
      </c>
    </row>
    <row r="57" spans="1:11">
      <c r="A57" s="23">
        <v>32</v>
      </c>
      <c r="B57" s="24" t="s">
        <v>157</v>
      </c>
      <c r="C57" s="25" t="s">
        <v>158</v>
      </c>
      <c r="D57" s="27">
        <f>Component_Properties!D36</f>
        <v>226</v>
      </c>
      <c r="E57" s="7">
        <f>Compositions_Master!X39</f>
        <v>3.48</v>
      </c>
      <c r="F57" s="21">
        <f>IF(SUM($E$14:$E$21)=0,0,(Compositions_Master!H39*$E$14+Compositions_Master!J39*$E$15+Compositions_Master!L39*$E$16+Compositions_Master!N39*$E$17+Compositions_Master!P39*$E$18+Compositions_Master!R39*$E$19+Compositions_Master!T39*$E$20+Compositions_Master!V39*$E$21)/SUM($E$14:$E$21))</f>
        <v>0</v>
      </c>
      <c r="G57" s="34">
        <f>$B$9*E57/100+$E$22*F57/100</f>
        <v>1.5879351023543798E-4</v>
      </c>
      <c r="H57" s="21">
        <f>IF(SUM($G$26:$G$77)=0,0,G57/SUM($G$26:$G$77)*100)</f>
        <v>3.4800000000000004</v>
      </c>
      <c r="I57" s="7">
        <f>Compositions_Master!F39</f>
        <v>0</v>
      </c>
      <c r="J57" s="20">
        <f>IF(I57=0,IF(H57=0,0,100),ABS(H57-I57)/I57*100)</f>
        <v>100</v>
      </c>
      <c r="K57" s="23" t="str">
        <f>IF(I57=0,IF(H57=0,"N/A","new"),IF(J57&lt;=2,"PASS",IF(J57&lt;=3,"REVIEW","FAIL")))</f>
        <v>new</v>
      </c>
    </row>
    <row r="58" spans="1:11">
      <c r="A58" s="23">
        <v>33</v>
      </c>
      <c r="B58" s="24" t="s">
        <v>159</v>
      </c>
      <c r="C58" s="25" t="s">
        <v>160</v>
      </c>
      <c r="D58" s="27">
        <f>Component_Properties!D37</f>
        <v>240</v>
      </c>
      <c r="E58" s="7">
        <f>Compositions_Master!X40</f>
        <v>2.91</v>
      </c>
      <c r="F58" s="21">
        <f>IF(SUM($E$14:$E$21)=0,0,(Compositions_Master!H40*$E$14+Compositions_Master!J40*$E$15+Compositions_Master!L40*$E$16+Compositions_Master!N40*$E$17+Compositions_Master!P40*$E$18+Compositions_Master!R40*$E$19+Compositions_Master!T40*$E$20+Compositions_Master!V40*$E$21)/SUM($E$14:$E$21))</f>
        <v>0</v>
      </c>
      <c r="G58" s="34">
        <f>$B$9*E58/100+$E$22*F58/100</f>
        <v>1.3278422838653003E-4</v>
      </c>
      <c r="H58" s="21">
        <f>IF(SUM($G$26:$G$77)=0,0,G58/SUM($G$26:$G$77)*100)</f>
        <v>2.9100000000000006</v>
      </c>
      <c r="I58" s="7">
        <f>Compositions_Master!F40</f>
        <v>0</v>
      </c>
      <c r="J58" s="20">
        <f>IF(I58=0,IF(H58=0,0,100),ABS(H58-I58)/I58*100)</f>
        <v>100</v>
      </c>
      <c r="K58" s="23" t="str">
        <f>IF(I58=0,IF(H58=0,"N/A","new"),IF(J58&lt;=2,"PASS",IF(J58&lt;=3,"REVIEW","FAIL")))</f>
        <v>new</v>
      </c>
    </row>
    <row r="59" spans="1:11">
      <c r="A59" s="23">
        <v>34</v>
      </c>
      <c r="B59" s="24" t="s">
        <v>161</v>
      </c>
      <c r="C59" s="25" t="s">
        <v>162</v>
      </c>
      <c r="D59" s="27">
        <f>Component_Properties!D38</f>
        <v>254</v>
      </c>
      <c r="E59" s="7">
        <f>Compositions_Master!X41</f>
        <v>2.64</v>
      </c>
      <c r="F59" s="21">
        <f>IF(SUM($E$14:$E$21)=0,0,(Compositions_Master!H41*$E$14+Compositions_Master!J41*$E$15+Compositions_Master!L41*$E$16+Compositions_Master!N41*$E$17+Compositions_Master!P41*$E$18+Compositions_Master!R41*$E$19+Compositions_Master!T41*$E$20+Compositions_Master!V41*$E$21)/SUM($E$14:$E$21))</f>
        <v>0</v>
      </c>
      <c r="G59" s="34">
        <f>$B$9*E59/100+$E$22*F59/100</f>
        <v>1.2046404224757366E-4</v>
      </c>
      <c r="H59" s="21">
        <f>IF(SUM($G$26:$G$77)=0,0,G59/SUM($G$26:$G$77)*100)</f>
        <v>2.6400000000000006</v>
      </c>
      <c r="I59" s="7">
        <f>Compositions_Master!F41</f>
        <v>0</v>
      </c>
      <c r="J59" s="20">
        <f>IF(I59=0,IF(H59=0,0,100),ABS(H59-I59)/I59*100)</f>
        <v>100</v>
      </c>
      <c r="K59" s="23" t="str">
        <f>IF(I59=0,IF(H59=0,"N/A","new"),IF(J59&lt;=2,"PASS",IF(J59&lt;=3,"REVIEW","FAIL")))</f>
        <v>new</v>
      </c>
    </row>
    <row r="60" spans="1:11">
      <c r="A60" s="23">
        <v>35</v>
      </c>
      <c r="B60" s="24" t="s">
        <v>163</v>
      </c>
      <c r="C60" s="25" t="s">
        <v>164</v>
      </c>
      <c r="D60" s="27">
        <f>Component_Properties!D39</f>
        <v>268</v>
      </c>
      <c r="E60" s="7">
        <f>Compositions_Master!X42</f>
        <v>2.54</v>
      </c>
      <c r="F60" s="21">
        <f>IF(SUM($E$14:$E$21)=0,0,(Compositions_Master!H42*$E$14+Compositions_Master!J42*$E$15+Compositions_Master!L42*$E$16+Compositions_Master!N42*$E$17+Compositions_Master!P42*$E$18+Compositions_Master!R42*$E$19+Compositions_Master!T42*$E$20+Compositions_Master!V42*$E$21)/SUM($E$14:$E$21))</f>
        <v>0</v>
      </c>
      <c r="G60" s="34">
        <f>$B$9*E60/100+$E$22*F60/100</f>
        <v>1.1590101034425647E-4</v>
      </c>
      <c r="H60" s="21">
        <f>IF(SUM($G$26:$G$77)=0,0,G60/SUM($G$26:$G$77)*100)</f>
        <v>2.5400000000000005</v>
      </c>
      <c r="I60" s="7">
        <f>Compositions_Master!F42</f>
        <v>0</v>
      </c>
      <c r="J60" s="20">
        <f>IF(I60=0,IF(H60=0,0,100),ABS(H60-I60)/I60*100)</f>
        <v>100</v>
      </c>
      <c r="K60" s="23" t="str">
        <f>IF(I60=0,IF(H60=0,"N/A","new"),IF(J60&lt;=2,"PASS",IF(J60&lt;=3,"REVIEW","FAIL")))</f>
        <v>new</v>
      </c>
    </row>
    <row r="61" spans="1:11">
      <c r="A61" s="23">
        <v>36</v>
      </c>
      <c r="B61" s="24" t="s">
        <v>165</v>
      </c>
      <c r="C61" s="25" t="s">
        <v>166</v>
      </c>
      <c r="D61" s="27">
        <f>Component_Properties!D40</f>
        <v>282</v>
      </c>
      <c r="E61" s="7">
        <f>Compositions_Master!X43</f>
        <v>2.1800000000000002</v>
      </c>
      <c r="F61" s="21">
        <f>IF(SUM($E$14:$E$21)=0,0,(Compositions_Master!H43*$E$14+Compositions_Master!J43*$E$15+Compositions_Master!L43*$E$16+Compositions_Master!N43*$E$17+Compositions_Master!P43*$E$18+Compositions_Master!R43*$E$19+Compositions_Master!T43*$E$20+Compositions_Master!V43*$E$21)/SUM($E$14:$E$21))</f>
        <v>0</v>
      </c>
      <c r="G61" s="34">
        <f>$B$9*E61/100+$E$22*F61/100</f>
        <v>9.9474095492314621E-5</v>
      </c>
      <c r="H61" s="21">
        <f>IF(SUM($G$26:$G$77)=0,0,G61/SUM($G$26:$G$77)*100)</f>
        <v>2.1800000000000006</v>
      </c>
      <c r="I61" s="7">
        <f>Compositions_Master!F43</f>
        <v>0</v>
      </c>
      <c r="J61" s="20">
        <f>IF(I61=0,IF(H61=0,0,100),ABS(H61-I61)/I61*100)</f>
        <v>100</v>
      </c>
      <c r="K61" s="23" t="str">
        <f>IF(I61=0,IF(H61=0,"N/A","new"),IF(J61&lt;=2,"PASS",IF(J61&lt;=3,"REVIEW","FAIL")))</f>
        <v>new</v>
      </c>
    </row>
    <row r="62" spans="1:11">
      <c r="A62" s="23">
        <v>37</v>
      </c>
      <c r="B62" s="24" t="s">
        <v>167</v>
      </c>
      <c r="C62" s="25" t="s">
        <v>168</v>
      </c>
      <c r="D62" s="27">
        <f>Component_Properties!D41</f>
        <v>296</v>
      </c>
      <c r="E62" s="7">
        <f>Compositions_Master!X44</f>
        <v>1.95</v>
      </c>
      <c r="F62" s="21">
        <f>IF(SUM($E$14:$E$21)=0,0,(Compositions_Master!H44*$E$14+Compositions_Master!J44*$E$15+Compositions_Master!L44*$E$16+Compositions_Master!N44*$E$17+Compositions_Master!P44*$E$18+Compositions_Master!R44*$E$19+Compositions_Master!T44*$E$20+Compositions_Master!V44*$E$21)/SUM($E$14:$E$21))</f>
        <v>0</v>
      </c>
      <c r="G62" s="34">
        <f>$B$9*E62/100+$E$22*F62/100</f>
        <v>8.897912211468508E-5</v>
      </c>
      <c r="H62" s="21">
        <f>IF(SUM($G$26:$G$77)=0,0,G62/SUM($G$26:$G$77)*100)</f>
        <v>1.9500000000000004</v>
      </c>
      <c r="I62" s="7">
        <f>Compositions_Master!F44</f>
        <v>0</v>
      </c>
      <c r="J62" s="20">
        <f>IF(I62=0,IF(H62=0,0,100),ABS(H62-I62)/I62*100)</f>
        <v>100</v>
      </c>
      <c r="K62" s="23" t="str">
        <f>IF(I62=0,IF(H62=0,"N/A","new"),IF(J62&lt;=2,"PASS",IF(J62&lt;=3,"REVIEW","FAIL")))</f>
        <v>new</v>
      </c>
    </row>
    <row r="63" spans="1:11">
      <c r="A63" s="23">
        <v>38</v>
      </c>
      <c r="B63" s="24" t="s">
        <v>169</v>
      </c>
      <c r="C63" s="25" t="s">
        <v>170</v>
      </c>
      <c r="D63" s="27">
        <f>Component_Properties!D42</f>
        <v>310</v>
      </c>
      <c r="E63" s="7">
        <f>Compositions_Master!X45</f>
        <v>1.7</v>
      </c>
      <c r="F63" s="21">
        <f>IF(SUM($E$14:$E$21)=0,0,(Compositions_Master!H45*$E$14+Compositions_Master!J45*$E$15+Compositions_Master!L45*$E$16+Compositions_Master!N45*$E$17+Compositions_Master!P45*$E$18+Compositions_Master!R45*$E$19+Compositions_Master!T45*$E$20+Compositions_Master!V45*$E$21)/SUM($E$14:$E$21))</f>
        <v>0</v>
      </c>
      <c r="G63" s="34">
        <f>$B$9*E63/100+$E$22*F63/100</f>
        <v>7.7571542356392117E-5</v>
      </c>
      <c r="H63" s="21">
        <f>IF(SUM($G$26:$G$77)=0,0,G63/SUM($G$26:$G$77)*100)</f>
        <v>1.7000000000000002</v>
      </c>
      <c r="I63" s="7">
        <f>Compositions_Master!F45</f>
        <v>0</v>
      </c>
      <c r="J63" s="20">
        <f>IF(I63=0,IF(H63=0,0,100),ABS(H63-I63)/I63*100)</f>
        <v>100</v>
      </c>
      <c r="K63" s="23" t="str">
        <f>IF(I63=0,IF(H63=0,"N/A","new"),IF(J63&lt;=2,"PASS",IF(J63&lt;=3,"REVIEW","FAIL")))</f>
        <v>new</v>
      </c>
    </row>
    <row r="64" spans="1:11">
      <c r="A64" s="23">
        <v>39</v>
      </c>
      <c r="B64" s="24" t="s">
        <v>171</v>
      </c>
      <c r="C64" s="25" t="s">
        <v>172</v>
      </c>
      <c r="D64" s="27">
        <f>Component_Properties!D43</f>
        <v>324</v>
      </c>
      <c r="E64" s="7">
        <f>Compositions_Master!X46</f>
        <v>1.51</v>
      </c>
      <c r="F64" s="21">
        <f>IF(SUM($E$14:$E$21)=0,0,(Compositions_Master!H46*$E$14+Compositions_Master!J46*$E$15+Compositions_Master!L46*$E$16+Compositions_Master!N46*$E$17+Compositions_Master!P46*$E$18+Compositions_Master!R46*$E$19+Compositions_Master!T46*$E$20+Compositions_Master!V46*$E$21)/SUM($E$14:$E$21))</f>
        <v>0</v>
      </c>
      <c r="G64" s="34">
        <f>$B$9*E64/100+$E$22*F64/100</f>
        <v>6.8901781740089474E-5</v>
      </c>
      <c r="H64" s="21">
        <f>IF(SUM($G$26:$G$77)=0,0,G64/SUM($G$26:$G$77)*100)</f>
        <v>1.5100000000000005</v>
      </c>
      <c r="I64" s="7">
        <f>Compositions_Master!F46</f>
        <v>0</v>
      </c>
      <c r="J64" s="20">
        <f>IF(I64=0,IF(H64=0,0,100),ABS(H64-I64)/I64*100)</f>
        <v>100</v>
      </c>
      <c r="K64" s="23" t="str">
        <f>IF(I64=0,IF(H64=0,"N/A","new"),IF(J64&lt;=2,"PASS",IF(J64&lt;=3,"REVIEW","FAIL")))</f>
        <v>new</v>
      </c>
    </row>
    <row r="65" spans="1:11">
      <c r="A65" s="23">
        <v>40</v>
      </c>
      <c r="B65" s="24" t="s">
        <v>173</v>
      </c>
      <c r="C65" s="25" t="s">
        <v>174</v>
      </c>
      <c r="D65" s="27">
        <f>Component_Properties!D44</f>
        <v>338</v>
      </c>
      <c r="E65" s="7">
        <f>Compositions_Master!X47</f>
        <v>1.36</v>
      </c>
      <c r="F65" s="21">
        <f>IF(SUM($E$14:$E$21)=0,0,(Compositions_Master!H47*$E$14+Compositions_Master!J47*$E$15+Compositions_Master!L47*$E$16+Compositions_Master!N47*$E$17+Compositions_Master!P47*$E$18+Compositions_Master!R47*$E$19+Compositions_Master!T47*$E$20+Compositions_Master!V47*$E$21)/SUM($E$14:$E$21))</f>
        <v>0</v>
      </c>
      <c r="G65" s="34">
        <f>$B$9*E65/100+$E$22*F65/100</f>
        <v>6.2057233885113702E-5</v>
      </c>
      <c r="H65" s="21">
        <f>IF(SUM($G$26:$G$77)=0,0,G65/SUM($G$26:$G$77)*100)</f>
        <v>1.3600000000000005</v>
      </c>
      <c r="I65" s="7">
        <f>Compositions_Master!F47</f>
        <v>0</v>
      </c>
      <c r="J65" s="20">
        <f>IF(I65=0,IF(H65=0,0,100),ABS(H65-I65)/I65*100)</f>
        <v>100</v>
      </c>
      <c r="K65" s="23" t="str">
        <f>IF(I65=0,IF(H65=0,"N/A","new"),IF(J65&lt;=2,"PASS",IF(J65&lt;=3,"REVIEW","FAIL")))</f>
        <v>new</v>
      </c>
    </row>
    <row r="66" spans="1:11">
      <c r="A66" s="23">
        <v>41</v>
      </c>
      <c r="B66" s="24" t="s">
        <v>175</v>
      </c>
      <c r="C66" s="25" t="s">
        <v>176</v>
      </c>
      <c r="D66" s="27">
        <f>Component_Properties!D45</f>
        <v>352</v>
      </c>
      <c r="E66" s="7">
        <f>Compositions_Master!X48</f>
        <v>1.21</v>
      </c>
      <c r="F66" s="21">
        <f>IF(SUM($E$14:$E$21)=0,0,(Compositions_Master!H48*$E$14+Compositions_Master!J48*$E$15+Compositions_Master!L48*$E$16+Compositions_Master!N48*$E$17+Compositions_Master!P48*$E$18+Compositions_Master!R48*$E$19+Compositions_Master!T48*$E$20+Compositions_Master!V48*$E$21)/SUM($E$14:$E$21))</f>
        <v>0</v>
      </c>
      <c r="G66" s="34">
        <f>$B$9*E66/100+$E$22*F66/100</f>
        <v>5.5212686030137916E-5</v>
      </c>
      <c r="H66" s="21">
        <f>IF(SUM($G$26:$G$77)=0,0,G66/SUM($G$26:$G$77)*100)</f>
        <v>1.2100000000000002</v>
      </c>
      <c r="I66" s="7">
        <f>Compositions_Master!F48</f>
        <v>0</v>
      </c>
      <c r="J66" s="20">
        <f>IF(I66=0,IF(H66=0,0,100),ABS(H66-I66)/I66*100)</f>
        <v>100</v>
      </c>
      <c r="K66" s="23" t="str">
        <f>IF(I66=0,IF(H66=0,"N/A","new"),IF(J66&lt;=2,"PASS",IF(J66&lt;=3,"REVIEW","FAIL")))</f>
        <v>new</v>
      </c>
    </row>
    <row r="67" spans="1:11">
      <c r="A67" s="23">
        <v>42</v>
      </c>
      <c r="B67" s="24" t="s">
        <v>177</v>
      </c>
      <c r="C67" s="25" t="s">
        <v>178</v>
      </c>
      <c r="D67" s="27">
        <f>Component_Properties!D46</f>
        <v>366</v>
      </c>
      <c r="E67" s="7">
        <f>Compositions_Master!X49</f>
        <v>1.08</v>
      </c>
      <c r="F67" s="21">
        <f>IF(SUM($E$14:$E$21)=0,0,(Compositions_Master!H49*$E$14+Compositions_Master!J49*$E$15+Compositions_Master!L49*$E$16+Compositions_Master!N49*$E$17+Compositions_Master!P49*$E$18+Compositions_Master!R49*$E$19+Compositions_Master!T49*$E$20+Compositions_Master!V49*$E$21)/SUM($E$14:$E$21))</f>
        <v>0</v>
      </c>
      <c r="G67" s="34">
        <f>$B$9*E67/100+$E$22*F67/100</f>
        <v>4.9280744555825586E-5</v>
      </c>
      <c r="H67" s="21">
        <f>IF(SUM($G$26:$G$77)=0,0,G67/SUM($G$26:$G$77)*100)</f>
        <v>1.0800000000000003</v>
      </c>
      <c r="I67" s="7">
        <f>Compositions_Master!F49</f>
        <v>0</v>
      </c>
      <c r="J67" s="20">
        <f>IF(I67=0,IF(H67=0,0,100),ABS(H67-I67)/I67*100)</f>
        <v>100</v>
      </c>
      <c r="K67" s="23" t="str">
        <f>IF(I67=0,IF(H67=0,"N/A","new"),IF(J67&lt;=2,"PASS",IF(J67&lt;=3,"REVIEW","FAIL")))</f>
        <v>new</v>
      </c>
    </row>
    <row r="68" spans="1:11">
      <c r="A68" s="23">
        <v>43</v>
      </c>
      <c r="B68" s="24" t="s">
        <v>179</v>
      </c>
      <c r="C68" s="25" t="s">
        <v>180</v>
      </c>
      <c r="D68" s="27">
        <f>Component_Properties!D47</f>
        <v>380</v>
      </c>
      <c r="E68" s="7">
        <f>Compositions_Master!X50</f>
        <v>0.97</v>
      </c>
      <c r="F68" s="21">
        <f>IF(SUM($E$14:$E$21)=0,0,(Compositions_Master!H50*$E$14+Compositions_Master!J50*$E$15+Compositions_Master!L50*$E$16+Compositions_Master!N50*$E$17+Compositions_Master!P50*$E$18+Compositions_Master!R50*$E$19+Compositions_Master!T50*$E$20+Compositions_Master!V50*$E$21)/SUM($E$14:$E$21))</f>
        <v>0</v>
      </c>
      <c r="G68" s="34">
        <f>$B$9*E68/100+$E$22*F68/100</f>
        <v>4.4261409462176678E-5</v>
      </c>
      <c r="H68" s="21">
        <f>IF(SUM($G$26:$G$77)=0,0,G68/SUM($G$26:$G$77)*100)</f>
        <v>0.97</v>
      </c>
      <c r="I68" s="7">
        <f>Compositions_Master!F50</f>
        <v>0</v>
      </c>
      <c r="J68" s="20">
        <f>IF(I68=0,IF(H68=0,0,100),ABS(H68-I68)/I68*100)</f>
        <v>100</v>
      </c>
      <c r="K68" s="23" t="str">
        <f>IF(I68=0,IF(H68=0,"N/A","new"),IF(J68&lt;=2,"PASS",IF(J68&lt;=3,"REVIEW","FAIL")))</f>
        <v>new</v>
      </c>
    </row>
    <row r="69" spans="1:11">
      <c r="A69" s="23">
        <v>44</v>
      </c>
      <c r="B69" s="24" t="s">
        <v>181</v>
      </c>
      <c r="C69" s="25" t="s">
        <v>182</v>
      </c>
      <c r="D69" s="27">
        <f>Component_Properties!D48</f>
        <v>394</v>
      </c>
      <c r="E69" s="7">
        <f>Compositions_Master!X51</f>
        <v>0.92</v>
      </c>
      <c r="F69" s="21">
        <f>IF(SUM($E$14:$E$21)=0,0,(Compositions_Master!H51*$E$14+Compositions_Master!J51*$E$15+Compositions_Master!L51*$E$16+Compositions_Master!N51*$E$17+Compositions_Master!P51*$E$18+Compositions_Master!R51*$E$19+Compositions_Master!T51*$E$20+Compositions_Master!V51*$E$21)/SUM($E$14:$E$21))</f>
        <v>0</v>
      </c>
      <c r="G69" s="34">
        <f>$B$9*E69/100+$E$22*F69/100</f>
        <v>4.1979893510518089E-5</v>
      </c>
      <c r="H69" s="21">
        <f>IF(SUM($G$26:$G$77)=0,0,G69/SUM($G$26:$G$77)*100)</f>
        <v>0.92000000000000015</v>
      </c>
      <c r="I69" s="7">
        <f>Compositions_Master!F51</f>
        <v>0</v>
      </c>
      <c r="J69" s="20">
        <f>IF(I69=0,IF(H69=0,0,100),ABS(H69-I69)/I69*100)</f>
        <v>100</v>
      </c>
      <c r="K69" s="23" t="str">
        <f>IF(I69=0,IF(H69=0,"N/A","new"),IF(J69&lt;=2,"PASS",IF(J69&lt;=3,"REVIEW","FAIL")))</f>
        <v>new</v>
      </c>
    </row>
    <row r="70" spans="1:11">
      <c r="A70" s="23">
        <v>45</v>
      </c>
      <c r="B70" s="24" t="s">
        <v>183</v>
      </c>
      <c r="C70" s="25" t="s">
        <v>184</v>
      </c>
      <c r="D70" s="27">
        <f>Component_Properties!D49</f>
        <v>408</v>
      </c>
      <c r="E70" s="7">
        <f>Compositions_Master!X52</f>
        <v>0.83</v>
      </c>
      <c r="F70" s="21">
        <f>IF(SUM($E$14:$E$21)=0,0,(Compositions_Master!H52*$E$14+Compositions_Master!J52*$E$15+Compositions_Master!L52*$E$16+Compositions_Master!N52*$E$17+Compositions_Master!P52*$E$18+Compositions_Master!R52*$E$19+Compositions_Master!T52*$E$20+Compositions_Master!V52*$E$21)/SUM($E$14:$E$21))</f>
        <v>0</v>
      </c>
      <c r="G70" s="34">
        <f>$B$9*E70/100+$E$22*F70/100</f>
        <v>3.7873164797532623E-5</v>
      </c>
      <c r="H70" s="21">
        <f>IF(SUM($G$26:$G$77)=0,0,G70/SUM($G$26:$G$77)*100)</f>
        <v>0.83000000000000018</v>
      </c>
      <c r="I70" s="7">
        <f>Compositions_Master!F52</f>
        <v>0</v>
      </c>
      <c r="J70" s="20">
        <f>IF(I70=0,IF(H70=0,0,100),ABS(H70-I70)/I70*100)</f>
        <v>100</v>
      </c>
      <c r="K70" s="23" t="str">
        <f>IF(I70=0,IF(H70=0,"N/A","new"),IF(J70&lt;=2,"PASS",IF(J70&lt;=3,"REVIEW","FAIL")))</f>
        <v>new</v>
      </c>
    </row>
    <row r="71" spans="1:11">
      <c r="A71" s="23">
        <v>46</v>
      </c>
      <c r="B71" s="24" t="s">
        <v>185</v>
      </c>
      <c r="C71" s="25" t="s">
        <v>186</v>
      </c>
      <c r="D71" s="27">
        <f>Component_Properties!D50</f>
        <v>422</v>
      </c>
      <c r="E71" s="7">
        <f>Compositions_Master!X53</f>
        <v>0.77</v>
      </c>
      <c r="F71" s="21">
        <f>IF(SUM($E$14:$E$21)=0,0,(Compositions_Master!H53*$E$14+Compositions_Master!J53*$E$15+Compositions_Master!L53*$E$16+Compositions_Master!N53*$E$17+Compositions_Master!P53*$E$18+Compositions_Master!R53*$E$19+Compositions_Master!T53*$E$20+Compositions_Master!V53*$E$21)/SUM($E$14:$E$21))</f>
        <v>0</v>
      </c>
      <c r="G71" s="34">
        <f>$B$9*E71/100+$E$22*F71/100</f>
        <v>3.5135345655542317E-5</v>
      </c>
      <c r="H71" s="21">
        <f>IF(SUM($G$26:$G$77)=0,0,G71/SUM($G$26:$G$77)*100)</f>
        <v>0.77000000000000024</v>
      </c>
      <c r="I71" s="7">
        <f>Compositions_Master!F53</f>
        <v>0</v>
      </c>
      <c r="J71" s="20">
        <f>IF(I71=0,IF(H71=0,0,100),ABS(H71-I71)/I71*100)</f>
        <v>100</v>
      </c>
      <c r="K71" s="23" t="str">
        <f>IF(I71=0,IF(H71=0,"N/A","new"),IF(J71&lt;=2,"PASS",IF(J71&lt;=3,"REVIEW","FAIL")))</f>
        <v>new</v>
      </c>
    </row>
    <row r="72" spans="1:11">
      <c r="A72" s="23">
        <v>47</v>
      </c>
      <c r="B72" s="24" t="s">
        <v>187</v>
      </c>
      <c r="C72" s="25" t="s">
        <v>188</v>
      </c>
      <c r="D72" s="27">
        <f>Component_Properties!D51</f>
        <v>436</v>
      </c>
      <c r="E72" s="7">
        <f>Compositions_Master!X54</f>
        <v>0.69</v>
      </c>
      <c r="F72" s="21">
        <f>IF(SUM($E$14:$E$21)=0,0,(Compositions_Master!H54*$E$14+Compositions_Master!J54*$E$15+Compositions_Master!L54*$E$16+Compositions_Master!N54*$E$17+Compositions_Master!P54*$E$18+Compositions_Master!R54*$E$19+Compositions_Master!T54*$E$20+Compositions_Master!V54*$E$21)/SUM($E$14:$E$21))</f>
        <v>0</v>
      </c>
      <c r="G72" s="34">
        <f>$B$9*E72/100+$E$22*F72/100</f>
        <v>3.1484920132888562E-5</v>
      </c>
      <c r="H72" s="21">
        <f>IF(SUM($G$26:$G$77)=0,0,G72/SUM($G$26:$G$77)*100)</f>
        <v>0.69</v>
      </c>
      <c r="I72" s="7">
        <f>Compositions_Master!F54</f>
        <v>0</v>
      </c>
      <c r="J72" s="20">
        <f>IF(I72=0,IF(H72=0,0,100),ABS(H72-I72)/I72*100)</f>
        <v>100</v>
      </c>
      <c r="K72" s="23" t="str">
        <f>IF(I72=0,IF(H72=0,"N/A","new"),IF(J72&lt;=2,"PASS",IF(J72&lt;=3,"REVIEW","FAIL")))</f>
        <v>new</v>
      </c>
    </row>
    <row r="73" spans="1:11">
      <c r="A73" s="23">
        <v>48</v>
      </c>
      <c r="B73" s="24" t="s">
        <v>189</v>
      </c>
      <c r="C73" s="25" t="s">
        <v>190</v>
      </c>
      <c r="D73" s="27">
        <f>Component_Properties!D52</f>
        <v>450</v>
      </c>
      <c r="E73" s="7">
        <f>Compositions_Master!X55</f>
        <v>0.61</v>
      </c>
      <c r="F73" s="21">
        <f>IF(SUM($E$14:$E$21)=0,0,(Compositions_Master!H55*$E$14+Compositions_Master!J55*$E$15+Compositions_Master!L55*$E$16+Compositions_Master!N55*$E$17+Compositions_Master!P55*$E$18+Compositions_Master!R55*$E$19+Compositions_Master!T55*$E$20+Compositions_Master!V55*$E$21)/SUM($E$14:$E$21))</f>
        <v>0</v>
      </c>
      <c r="G73" s="34">
        <f>$B$9*E73/100+$E$22*F73/100</f>
        <v>2.783449461023482E-5</v>
      </c>
      <c r="H73" s="21">
        <f>IF(SUM($G$26:$G$77)=0,0,G73/SUM($G$26:$G$77)*100)</f>
        <v>0.6100000000000001</v>
      </c>
      <c r="I73" s="7">
        <f>Compositions_Master!F55</f>
        <v>0</v>
      </c>
      <c r="J73" s="20">
        <f>IF(I73=0,IF(H73=0,0,100),ABS(H73-I73)/I73*100)</f>
        <v>100</v>
      </c>
      <c r="K73" s="23" t="str">
        <f>IF(I73=0,IF(H73=0,"N/A","new"),IF(J73&lt;=2,"PASS",IF(J73&lt;=3,"REVIEW","FAIL")))</f>
        <v>new</v>
      </c>
    </row>
    <row r="74" spans="1:11">
      <c r="A74" s="23">
        <v>49</v>
      </c>
      <c r="B74" s="24" t="s">
        <v>191</v>
      </c>
      <c r="C74" s="25" t="s">
        <v>192</v>
      </c>
      <c r="D74" s="27">
        <f>Component_Properties!D53</f>
        <v>464</v>
      </c>
      <c r="E74" s="7">
        <f>Compositions_Master!X56</f>
        <v>0.56000000000000005</v>
      </c>
      <c r="F74" s="21">
        <f>IF(SUM($E$14:$E$21)=0,0,(Compositions_Master!H56*$E$14+Compositions_Master!J56*$E$15+Compositions_Master!L56*$E$16+Compositions_Master!N56*$E$17+Compositions_Master!P56*$E$18+Compositions_Master!R56*$E$19+Compositions_Master!T56*$E$20+Compositions_Master!V56*$E$21)/SUM($E$14:$E$21))</f>
        <v>0</v>
      </c>
      <c r="G74" s="34">
        <f>$B$9*E74/100+$E$22*F74/100</f>
        <v>2.5552978658576232E-5</v>
      </c>
      <c r="H74" s="21">
        <f>IF(SUM($G$26:$G$77)=0,0,G74/SUM($G$26:$G$77)*100)</f>
        <v>0.56000000000000016</v>
      </c>
      <c r="I74" s="7">
        <f>Compositions_Master!F56</f>
        <v>0</v>
      </c>
      <c r="J74" s="20">
        <f>IF(I74=0,IF(H74=0,0,100),ABS(H74-I74)/I74*100)</f>
        <v>100</v>
      </c>
      <c r="K74" s="23" t="str">
        <f>IF(I74=0,IF(H74=0,"N/A","new"),IF(J74&lt;=2,"PASS",IF(J74&lt;=3,"REVIEW","FAIL")))</f>
        <v>new</v>
      </c>
    </row>
    <row r="75" spans="1:11">
      <c r="A75" s="23">
        <v>50</v>
      </c>
      <c r="B75" s="24" t="s">
        <v>193</v>
      </c>
      <c r="C75" s="25" t="s">
        <v>194</v>
      </c>
      <c r="D75" s="27">
        <f>Component_Properties!D54</f>
        <v>478</v>
      </c>
      <c r="E75" s="7">
        <f>Compositions_Master!X57</f>
        <v>0.53</v>
      </c>
      <c r="F75" s="21">
        <f>IF(SUM($E$14:$E$21)=0,0,(Compositions_Master!H57*$E$14+Compositions_Master!J57*$E$15+Compositions_Master!L57*$E$16+Compositions_Master!N57*$E$17+Compositions_Master!P57*$E$18+Compositions_Master!R57*$E$19+Compositions_Master!T57*$E$20+Compositions_Master!V57*$E$21)/SUM($E$14:$E$21))</f>
        <v>0</v>
      </c>
      <c r="G75" s="34">
        <f>$B$9*E75/100+$E$22*F75/100</f>
        <v>2.4184069087581075E-5</v>
      </c>
      <c r="H75" s="21">
        <f>IF(SUM($G$26:$G$77)=0,0,G75/SUM($G$26:$G$77)*100)</f>
        <v>0.53000000000000014</v>
      </c>
      <c r="I75" s="7">
        <f>Compositions_Master!F57</f>
        <v>0</v>
      </c>
      <c r="J75" s="20">
        <f>IF(I75=0,IF(H75=0,0,100),ABS(H75-I75)/I75*100)</f>
        <v>100</v>
      </c>
      <c r="K75" s="23" t="str">
        <f>IF(I75=0,IF(H75=0,"N/A","new"),IF(J75&lt;=2,"PASS",IF(J75&lt;=3,"REVIEW","FAIL")))</f>
        <v>new</v>
      </c>
    </row>
    <row r="76" spans="1:11">
      <c r="A76" s="23">
        <v>51</v>
      </c>
      <c r="B76" s="24" t="s">
        <v>195</v>
      </c>
      <c r="C76" s="25" t="s">
        <v>196</v>
      </c>
      <c r="D76" s="27">
        <f>Component_Properties!D55</f>
        <v>492</v>
      </c>
      <c r="E76" s="7">
        <f>Compositions_Master!X58</f>
        <v>0.49</v>
      </c>
      <c r="F76" s="21">
        <f>IF(SUM($E$14:$E$21)=0,0,(Compositions_Master!H58*$E$14+Compositions_Master!J58*$E$15+Compositions_Master!L58*$E$16+Compositions_Master!N58*$E$17+Compositions_Master!P58*$E$18+Compositions_Master!R58*$E$19+Compositions_Master!T58*$E$20+Compositions_Master!V58*$E$21)/SUM($E$14:$E$21))</f>
        <v>0</v>
      </c>
      <c r="G76" s="34">
        <f>$B$9*E76/100+$E$22*F76/100</f>
        <v>2.2358856326254198E-5</v>
      </c>
      <c r="H76" s="21">
        <f>IF(SUM($G$26:$G$77)=0,0,G76/SUM($G$26:$G$77)*100)</f>
        <v>0.49000000000000005</v>
      </c>
      <c r="I76" s="7">
        <f>Compositions_Master!F58</f>
        <v>0</v>
      </c>
      <c r="J76" s="20">
        <f>IF(I76=0,IF(H76=0,0,100),ABS(H76-I76)/I76*100)</f>
        <v>100</v>
      </c>
      <c r="K76" s="23" t="str">
        <f>IF(I76=0,IF(H76=0,"N/A","new"),IF(J76&lt;=2,"PASS",IF(J76&lt;=3,"REVIEW","FAIL")))</f>
        <v>new</v>
      </c>
    </row>
    <row r="77" spans="1:11">
      <c r="A77" s="23">
        <v>52</v>
      </c>
      <c r="B77" s="24" t="s">
        <v>197</v>
      </c>
      <c r="C77" s="25" t="s">
        <v>198</v>
      </c>
      <c r="D77" s="27">
        <f>Component_Properties!D56</f>
        <v>636.4</v>
      </c>
      <c r="E77" s="7">
        <f>Compositions_Master!X59</f>
        <v>5.94</v>
      </c>
      <c r="F77" s="21">
        <f>IF(SUM($E$14:$E$21)=0,0,(Compositions_Master!H59*$E$14+Compositions_Master!J59*$E$15+Compositions_Master!L59*$E$16+Compositions_Master!N59*$E$17+Compositions_Master!P59*$E$18+Compositions_Master!R59*$E$19+Compositions_Master!T59*$E$20+Compositions_Master!V59*$E$21)/SUM($E$14:$E$21))</f>
        <v>0</v>
      </c>
      <c r="G77" s="34">
        <f>$B$9*E77/100+$E$22*F77/100</f>
        <v>2.7104409505704071E-4</v>
      </c>
      <c r="H77" s="21">
        <f>IF(SUM($G$26:$G$77)=0,0,G77/SUM($G$26:$G$77)*100)</f>
        <v>5.9400000000000013</v>
      </c>
      <c r="I77" s="7">
        <f>Compositions_Master!F59</f>
        <v>0</v>
      </c>
      <c r="J77" s="20">
        <f>IF(I77=0,IF(H77=0,0,100),ABS(H77-I77)/I77*100)</f>
        <v>100</v>
      </c>
      <c r="K77" s="23" t="str">
        <f>IF(I77=0,IF(H77=0,"N/A","new"),IF(J77&lt;=2,"PASS",IF(J77&lt;=3,"REVIEW","FAIL")))</f>
        <v>new</v>
      </c>
    </row>
    <row r="78" spans="1:11">
      <c r="B78" s="28" t="s">
        <v>219</v>
      </c>
      <c r="E78" s="29">
        <f>SUM(E26:E77)</f>
        <v>100.00000000000001</v>
      </c>
      <c r="F78" s="29">
        <f>SUM(F26:F77)</f>
        <v>0</v>
      </c>
      <c r="G78" s="29">
        <f>SUM(G26:G77)</f>
        <v>4.5630319033171827E-3</v>
      </c>
      <c r="H78" s="29">
        <f>SUM(H26:H77)</f>
        <v>100.00000000000001</v>
      </c>
      <c r="I78" s="29">
        <f>SUM(I26:I77)</f>
        <v>0</v>
      </c>
    </row>
    <row r="80" spans="1:11" ht="21.95" customHeight="1">
      <c r="A80" s="43" t="s">
        <v>288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</row>
    <row r="81" spans="1:11">
      <c r="A81" s="1" t="s">
        <v>289</v>
      </c>
      <c r="B81" s="20">
        <f>MAX(J26:J77)</f>
        <v>100</v>
      </c>
    </row>
    <row r="82" spans="1:11">
      <c r="A82" s="1" t="s">
        <v>290</v>
      </c>
      <c r="B82" s="37">
        <f>COUNTIF(K26:K77,"PASS")</f>
        <v>0</v>
      </c>
    </row>
    <row r="83" spans="1:11">
      <c r="A83" s="1" t="s">
        <v>291</v>
      </c>
      <c r="B83" s="37">
        <f>COUNTIF(K26:K77,"REVIEW")</f>
        <v>0</v>
      </c>
    </row>
    <row r="84" spans="1:11">
      <c r="A84" s="1" t="s">
        <v>292</v>
      </c>
      <c r="B84" s="37">
        <f>COUNTIF(K26:K77,"FAIL")</f>
        <v>0</v>
      </c>
    </row>
    <row r="85" spans="1:11" ht="24" customHeight="1">
      <c r="A85" s="9" t="s">
        <v>293</v>
      </c>
      <c r="B85" s="33" t="str">
        <f>IF(AND(B81&lt;=3,B84=0),"PASS - GOOD MATERIAL BALANCE",IF(B84&lt;=2,"REVIEW - CHECK OUTLIERS","FAIL - CHECK COMPOSITIONS"))</f>
        <v>REVIEW - CHECK OUTLIERS</v>
      </c>
    </row>
    <row r="87" spans="1:11" ht="21.95" customHeight="1">
      <c r="A87" s="43" t="s">
        <v>294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</row>
    <row r="88" spans="1:11">
      <c r="A88" s="1" t="s">
        <v>295</v>
      </c>
      <c r="B88" s="3">
        <v>1</v>
      </c>
    </row>
    <row r="89" spans="1:11">
      <c r="A89" s="1" t="s">
        <v>296</v>
      </c>
      <c r="B89" s="19">
        <f>INDEX($B$14:$B$21,$B$88)</f>
        <v>0</v>
      </c>
    </row>
    <row r="90" spans="1:11">
      <c r="A90" s="1" t="s">
        <v>297</v>
      </c>
      <c r="B90" s="19">
        <f>DV_Calc!B6+459.67</f>
        <v>715.67000000000007</v>
      </c>
    </row>
    <row r="92" spans="1:11" ht="21.95" customHeight="1">
      <c r="A92" s="43" t="s">
        <v>298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</row>
    <row r="93" spans="1:11" ht="39.950000000000003" customHeight="1">
      <c r="A93" s="16" t="s">
        <v>88</v>
      </c>
      <c r="B93" s="16" t="s">
        <v>89</v>
      </c>
      <c r="C93" s="16" t="s">
        <v>214</v>
      </c>
      <c r="D93" s="16" t="s">
        <v>93</v>
      </c>
      <c r="E93" s="16" t="s">
        <v>94</v>
      </c>
      <c r="F93" s="16" t="s">
        <v>95</v>
      </c>
      <c r="G93" s="16" t="s">
        <v>299</v>
      </c>
      <c r="H93" s="16" t="s">
        <v>300</v>
      </c>
      <c r="I93" s="16" t="s">
        <v>301</v>
      </c>
      <c r="J93" s="16" t="s">
        <v>302</v>
      </c>
      <c r="K93" s="16" t="s">
        <v>303</v>
      </c>
    </row>
    <row r="94" spans="1:11">
      <c r="A94" s="23">
        <v>1</v>
      </c>
      <c r="B94" s="24" t="s">
        <v>97</v>
      </c>
      <c r="C94" s="25" t="s">
        <v>98</v>
      </c>
      <c r="D94" s="8">
        <f>Component_Properties!F5</f>
        <v>36.700000000000003</v>
      </c>
      <c r="E94" s="8">
        <f>Component_Properties!G5</f>
        <v>188</v>
      </c>
      <c r="F94" s="8">
        <f>Component_Properties!H5</f>
        <v>59.4</v>
      </c>
      <c r="G94" s="7">
        <f>CHOOSE($B$88,Compositions_Master!H8,Compositions_Master!J8,Compositions_Master!L8,Compositions_Master!N8,Compositions_Master!P8,Compositions_Master!R8,Compositions_Master!T8,Compositions_Master!V8)</f>
        <v>0</v>
      </c>
      <c r="H94" s="7">
        <f>Compositions_Master!X8</f>
        <v>0</v>
      </c>
      <c r="I94" s="32" t="str">
        <f>IF(H94=0,"",G94/H94)</f>
        <v/>
      </c>
      <c r="J94" s="21" t="str">
        <f>IF(OR(I94="",I94=0),"",LOG10(I94*$B$89))</f>
        <v/>
      </c>
      <c r="K94" s="21">
        <f>IF(OR(D94=0,F94=D94),"",(LOG10(E94/14.7)/(1/D94-1/F94))*(1/D94-1/$B$90))</f>
        <v>2.7477891759572421</v>
      </c>
    </row>
    <row r="95" spans="1:11">
      <c r="A95" s="23">
        <v>2</v>
      </c>
      <c r="B95" s="24" t="s">
        <v>99</v>
      </c>
      <c r="C95" s="25" t="s">
        <v>100</v>
      </c>
      <c r="D95" s="8">
        <f>Component_Properties!F6</f>
        <v>383.1</v>
      </c>
      <c r="E95" s="8">
        <f>Component_Properties!G6</f>
        <v>1300</v>
      </c>
      <c r="F95" s="8">
        <f>Component_Properties!H6</f>
        <v>672.4</v>
      </c>
      <c r="G95" s="7">
        <f>CHOOSE($B$88,Compositions_Master!H9,Compositions_Master!J9,Compositions_Master!L9,Compositions_Master!N9,Compositions_Master!P9,Compositions_Master!R9,Compositions_Master!T9,Compositions_Master!V9)</f>
        <v>0</v>
      </c>
      <c r="H95" s="7">
        <f>Compositions_Master!X9</f>
        <v>0</v>
      </c>
      <c r="I95" s="32" t="str">
        <f>IF(H95=0,"",G95/H95)</f>
        <v/>
      </c>
      <c r="J95" s="21" t="str">
        <f>IF(OR(I95="",I95=0),"",LOG10(I95*$B$89))</f>
        <v/>
      </c>
      <c r="K95" s="21">
        <f>IF(OR(D95=0,F95=D95),"",(LOG10(E95/14.7)/(1/D95-1/F95))*(1/D95-1/$B$90))</f>
        <v>2.1024808686884824</v>
      </c>
    </row>
    <row r="96" spans="1:11">
      <c r="A96" s="23">
        <v>3</v>
      </c>
      <c r="B96" s="24" t="s">
        <v>101</v>
      </c>
      <c r="C96" s="25" t="s">
        <v>102</v>
      </c>
      <c r="D96" s="8">
        <f>Component_Properties!F7</f>
        <v>350</v>
      </c>
      <c r="E96" s="8">
        <f>Component_Properties!G7</f>
        <v>1071</v>
      </c>
      <c r="F96" s="8">
        <f>Component_Properties!H7</f>
        <v>547.6</v>
      </c>
      <c r="G96" s="7">
        <f>CHOOSE($B$88,Compositions_Master!H10,Compositions_Master!J10,Compositions_Master!L10,Compositions_Master!N10,Compositions_Master!P10,Compositions_Master!R10,Compositions_Master!T10,Compositions_Master!V10)</f>
        <v>4.0599999999999996</v>
      </c>
      <c r="H96" s="7">
        <f>Compositions_Master!X10</f>
        <v>0</v>
      </c>
      <c r="I96" s="32" t="str">
        <f>IF(H96=0,"",G96/H96)</f>
        <v/>
      </c>
      <c r="J96" s="21" t="str">
        <f>IF(OR(I96="",I96=0),"",LOG10(I96*$B$89))</f>
        <v/>
      </c>
      <c r="K96" s="21">
        <f>IF(OR(D96=0,F96=D96),"",(LOG10(E96/14.7)/(1/D96-1/F96))*(1/D96-1/$B$90))</f>
        <v>2.637198393907132</v>
      </c>
    </row>
    <row r="97" spans="1:11">
      <c r="A97" s="23">
        <v>4</v>
      </c>
      <c r="B97" s="24" t="s">
        <v>103</v>
      </c>
      <c r="C97" s="25" t="s">
        <v>104</v>
      </c>
      <c r="D97" s="8">
        <f>Component_Properties!F8</f>
        <v>139.30000000000001</v>
      </c>
      <c r="E97" s="8">
        <f>Component_Properties!G8</f>
        <v>493</v>
      </c>
      <c r="F97" s="8">
        <f>Component_Properties!H8</f>
        <v>227.2</v>
      </c>
      <c r="G97" s="7">
        <f>CHOOSE($B$88,Compositions_Master!H11,Compositions_Master!J11,Compositions_Master!L11,Compositions_Master!N11,Compositions_Master!P11,Compositions_Master!R11,Compositions_Master!T11,Compositions_Master!V11)</f>
        <v>1.6</v>
      </c>
      <c r="H97" s="7">
        <f>Compositions_Master!X11</f>
        <v>0</v>
      </c>
      <c r="I97" s="32" t="str">
        <f>IF(H97=0,"",G97/H97)</f>
        <v/>
      </c>
      <c r="J97" s="21" t="str">
        <f>IF(OR(I97="",I97=0),"",LOG10(I97*$B$89))</f>
        <v/>
      </c>
      <c r="K97" s="21">
        <f>IF(OR(D97=0,F97=D97),"",(LOG10(E97/14.7)/(1/D97-1/F97))*(1/D97-1/$B$90))</f>
        <v>3.1756208266884389</v>
      </c>
    </row>
    <row r="98" spans="1:11">
      <c r="A98" s="23">
        <v>5</v>
      </c>
      <c r="B98" s="24" t="s">
        <v>105</v>
      </c>
      <c r="C98" s="25" t="s">
        <v>106</v>
      </c>
      <c r="D98" s="8">
        <f>Component_Properties!F9</f>
        <v>200.7</v>
      </c>
      <c r="E98" s="8">
        <f>Component_Properties!G9</f>
        <v>666.4</v>
      </c>
      <c r="F98" s="8">
        <f>Component_Properties!H9</f>
        <v>343</v>
      </c>
      <c r="G98" s="7">
        <f>CHOOSE($B$88,Compositions_Master!H12,Compositions_Master!J12,Compositions_Master!L12,Compositions_Master!N12,Compositions_Master!P12,Compositions_Master!R12,Compositions_Master!T12,Compositions_Master!V12)</f>
        <v>69.09</v>
      </c>
      <c r="H98" s="7">
        <f>Compositions_Master!X12</f>
        <v>0</v>
      </c>
      <c r="I98" s="32" t="str">
        <f>IF(H98=0,"",G98/H98)</f>
        <v/>
      </c>
      <c r="J98" s="21" t="str">
        <f>IF(OR(I98="",I98=0),"",LOG10(I98*$B$89))</f>
        <v/>
      </c>
      <c r="K98" s="21">
        <f>IF(OR(D98=0,F98=D98),"",(LOG10(E98/14.7)/(1/D98-1/F98))*(1/D98-1/$B$90))</f>
        <v>2.8729507923273983</v>
      </c>
    </row>
    <row r="99" spans="1:11">
      <c r="A99" s="23">
        <v>6</v>
      </c>
      <c r="B99" s="24" t="s">
        <v>107</v>
      </c>
      <c r="C99" s="25" t="s">
        <v>108</v>
      </c>
      <c r="D99" s="8">
        <f>Component_Properties!F10</f>
        <v>332.2</v>
      </c>
      <c r="E99" s="8">
        <f>Component_Properties!G10</f>
        <v>706.5</v>
      </c>
      <c r="F99" s="8">
        <f>Component_Properties!H10</f>
        <v>549.6</v>
      </c>
      <c r="G99" s="7">
        <f>CHOOSE($B$88,Compositions_Master!H13,Compositions_Master!J13,Compositions_Master!L13,Compositions_Master!N13,Compositions_Master!P13,Compositions_Master!R13,Compositions_Master!T13,Compositions_Master!V13)</f>
        <v>9.7100000000000009</v>
      </c>
      <c r="H99" s="7">
        <f>Compositions_Master!X13</f>
        <v>0.01</v>
      </c>
      <c r="I99" s="32">
        <f>IF(H99=0,"",G99/H99)</f>
        <v>971.00000000000011</v>
      </c>
      <c r="J99" s="21" t="e">
        <f>IF(OR(I99="",I99=0),"",LOG10(I99*$B$89))</f>
        <v>#NUM!</v>
      </c>
      <c r="K99" s="21">
        <f>IF(OR(D99=0,F99=D99),"",(LOG10(E99/14.7)/(1/D99-1/F99))*(1/D99-1/$B$90))</f>
        <v>2.2781314453094037</v>
      </c>
    </row>
    <row r="100" spans="1:11">
      <c r="A100" s="23">
        <v>7</v>
      </c>
      <c r="B100" s="24" t="s">
        <v>109</v>
      </c>
      <c r="C100" s="25" t="s">
        <v>110</v>
      </c>
      <c r="D100" s="8">
        <f>Component_Properties!F11</f>
        <v>415.9</v>
      </c>
      <c r="E100" s="8">
        <f>Component_Properties!G11</f>
        <v>616</v>
      </c>
      <c r="F100" s="8">
        <f>Component_Properties!H11</f>
        <v>665.7</v>
      </c>
      <c r="G100" s="7">
        <f>CHOOSE($B$88,Compositions_Master!H14,Compositions_Master!J14,Compositions_Master!L14,Compositions_Master!N14,Compositions_Master!P14,Compositions_Master!R14,Compositions_Master!T14,Compositions_Master!V14)</f>
        <v>6.71</v>
      </c>
      <c r="H100" s="7">
        <f>Compositions_Master!X14</f>
        <v>7.0000000000000007E-2</v>
      </c>
      <c r="I100" s="32">
        <f>IF(H100=0,"",G100/H100)</f>
        <v>95.857142857142847</v>
      </c>
      <c r="J100" s="21" t="e">
        <f>IF(OR(I100="",I100=0),"",LOG10(I100*$B$89))</f>
        <v>#NUM!</v>
      </c>
      <c r="K100" s="21">
        <f>IF(OR(D100=0,F100=D100),"",(LOG10(E100/14.7)/(1/D100-1/F100))*(1/D100-1/$B$90))</f>
        <v>1.8108515218329431</v>
      </c>
    </row>
    <row r="101" spans="1:11">
      <c r="A101" s="23">
        <v>8</v>
      </c>
      <c r="B101" s="24" t="s">
        <v>111</v>
      </c>
      <c r="C101" s="25" t="s">
        <v>112</v>
      </c>
      <c r="D101" s="8">
        <f>Component_Properties!F12</f>
        <v>470.6</v>
      </c>
      <c r="E101" s="8">
        <f>Component_Properties!G12</f>
        <v>527.9</v>
      </c>
      <c r="F101" s="8">
        <f>Component_Properties!H12</f>
        <v>734.1</v>
      </c>
      <c r="G101" s="7">
        <f>CHOOSE($B$88,Compositions_Master!H15,Compositions_Master!J15,Compositions_Master!L15,Compositions_Master!N15,Compositions_Master!P15,Compositions_Master!R15,Compositions_Master!T15,Compositions_Master!V15)</f>
        <v>1.38</v>
      </c>
      <c r="H101" s="7">
        <f>Compositions_Master!X15</f>
        <v>0.1</v>
      </c>
      <c r="I101" s="32">
        <f>IF(H101=0,"",G101/H101)</f>
        <v>13.799999999999999</v>
      </c>
      <c r="J101" s="21" t="e">
        <f>IF(OR(I101="",I101=0),"",LOG10(I101*$B$89))</f>
        <v>#NUM!</v>
      </c>
      <c r="K101" s="21">
        <f>IF(OR(D101=0,F101=D101),"",(LOG10(E101/14.7)/(1/D101-1/F101))*(1/D101-1/$B$90))</f>
        <v>1.4837057380222713</v>
      </c>
    </row>
    <row r="102" spans="1:11">
      <c r="A102" s="23">
        <v>9</v>
      </c>
      <c r="B102" s="24" t="s">
        <v>113</v>
      </c>
      <c r="C102" s="25" t="s">
        <v>114</v>
      </c>
      <c r="D102" s="8">
        <f>Component_Properties!F13</f>
        <v>490.7</v>
      </c>
      <c r="E102" s="8">
        <f>Component_Properties!G13</f>
        <v>550.6</v>
      </c>
      <c r="F102" s="8">
        <f>Component_Properties!H13</f>
        <v>765.3</v>
      </c>
      <c r="G102" s="7">
        <f>CHOOSE($B$88,Compositions_Master!H16,Compositions_Master!J16,Compositions_Master!L16,Compositions_Master!N16,Compositions_Master!P16,Compositions_Master!R16,Compositions_Master!T16,Compositions_Master!V16)</f>
        <v>2.82</v>
      </c>
      <c r="H102" s="7">
        <f>Compositions_Master!X16</f>
        <v>0.45</v>
      </c>
      <c r="I102" s="32">
        <f>IF(H102=0,"",G102/H102)</f>
        <v>6.2666666666666657</v>
      </c>
      <c r="J102" s="21" t="e">
        <f>IF(OR(I102="",I102=0),"",LOG10(I102*$B$89))</f>
        <v>#NUM!</v>
      </c>
      <c r="K102" s="21">
        <f>IF(OR(D102=0,F102=D102),"",(LOG10(E102/14.7)/(1/D102-1/F102))*(1/D102-1/$B$90))</f>
        <v>1.3785259069613627</v>
      </c>
    </row>
    <row r="103" spans="1:11">
      <c r="A103" s="23">
        <v>10</v>
      </c>
      <c r="B103" s="24" t="s">
        <v>115</v>
      </c>
      <c r="C103" s="25" t="s">
        <v>116</v>
      </c>
      <c r="D103" s="8">
        <f>Component_Properties!F14</f>
        <v>482.6</v>
      </c>
      <c r="E103" s="8">
        <f>Component_Properties!G14</f>
        <v>464</v>
      </c>
      <c r="F103" s="8">
        <f>Component_Properties!H14</f>
        <v>734.6</v>
      </c>
      <c r="G103" s="7">
        <f>CHOOSE($B$88,Compositions_Master!H17,Compositions_Master!J17,Compositions_Master!L17,Compositions_Master!N17,Compositions_Master!P17,Compositions_Master!R17,Compositions_Master!T17,Compositions_Master!V17)</f>
        <v>0.01</v>
      </c>
      <c r="H103" s="7">
        <f>Compositions_Master!X17</f>
        <v>0</v>
      </c>
      <c r="I103" s="32" t="str">
        <f>IF(H103=0,"",G103/H103)</f>
        <v/>
      </c>
      <c r="J103" s="21" t="str">
        <f>IF(OR(I103="",I103=0),"",LOG10(I103*$B$89))</f>
        <v/>
      </c>
      <c r="K103" s="21">
        <f>IF(OR(D103=0,F103=D103),"",(LOG10(E103/14.7)/(1/D103-1/F103))*(1/D103-1/$B$90))</f>
        <v>1.4232582421547415</v>
      </c>
    </row>
    <row r="104" spans="1:11">
      <c r="A104" s="23">
        <v>11</v>
      </c>
      <c r="B104" s="24" t="s">
        <v>117</v>
      </c>
      <c r="C104" s="25" t="s">
        <v>118</v>
      </c>
      <c r="D104" s="8">
        <f>Component_Properties!F15</f>
        <v>541.70000000000005</v>
      </c>
      <c r="E104" s="8">
        <f>Component_Properties!G15</f>
        <v>490.4</v>
      </c>
      <c r="F104" s="8">
        <f>Component_Properties!H15</f>
        <v>828.7</v>
      </c>
      <c r="G104" s="7">
        <f>CHOOSE($B$88,Compositions_Master!H18,Compositions_Master!J18,Compositions_Master!L18,Compositions_Master!N18,Compositions_Master!P18,Compositions_Master!R18,Compositions_Master!T18,Compositions_Master!V18)</f>
        <v>0.98</v>
      </c>
      <c r="H104" s="7">
        <f>Compositions_Master!X18</f>
        <v>0.44</v>
      </c>
      <c r="I104" s="32">
        <f>IF(H104=0,"",G104/H104)</f>
        <v>2.2272727272727271</v>
      </c>
      <c r="J104" s="21" t="e">
        <f>IF(OR(I104="",I104=0),"",LOG10(I104*$B$89))</f>
        <v>#NUM!</v>
      </c>
      <c r="K104" s="21">
        <f>IF(OR(D104=0,F104=D104),"",(LOG10(E104/14.7)/(1/D104-1/F104))*(1/D104-1/$B$90))</f>
        <v>1.0691616414946681</v>
      </c>
    </row>
    <row r="105" spans="1:11">
      <c r="A105" s="23">
        <v>12</v>
      </c>
      <c r="B105" s="24" t="s">
        <v>119</v>
      </c>
      <c r="C105" s="25" t="s">
        <v>120</v>
      </c>
      <c r="D105" s="8">
        <f>Component_Properties!F16</f>
        <v>556.6</v>
      </c>
      <c r="E105" s="8">
        <f>Component_Properties!G16</f>
        <v>488.6</v>
      </c>
      <c r="F105" s="8">
        <f>Component_Properties!H16</f>
        <v>845.5</v>
      </c>
      <c r="G105" s="7">
        <f>CHOOSE($B$88,Compositions_Master!H19,Compositions_Master!J19,Compositions_Master!L19,Compositions_Master!N19,Compositions_Master!P19,Compositions_Master!R19,Compositions_Master!T19,Compositions_Master!V19)</f>
        <v>1.1399999999999999</v>
      </c>
      <c r="H105" s="7">
        <f>Compositions_Master!X19</f>
        <v>0.82</v>
      </c>
      <c r="I105" s="32">
        <f>IF(H105=0,"",G105/H105)</f>
        <v>1.3902439024390243</v>
      </c>
      <c r="J105" s="21" t="e">
        <f>IF(OR(I105="",I105=0),"",LOG10(I105*$B$89))</f>
        <v>#NUM!</v>
      </c>
      <c r="K105" s="21">
        <f>IF(OR(D105=0,F105=D105),"",(LOG10(E105/14.7)/(1/D105-1/F105))*(1/D105-1/$B$90))</f>
        <v>0.9898111682354257</v>
      </c>
    </row>
    <row r="106" spans="1:11">
      <c r="A106" s="23">
        <v>13</v>
      </c>
      <c r="B106" s="24" t="s">
        <v>121</v>
      </c>
      <c r="C106" s="25" t="s">
        <v>122</v>
      </c>
      <c r="D106" s="8">
        <f>Component_Properties!F17</f>
        <v>615.4</v>
      </c>
      <c r="E106" s="8">
        <f>Component_Properties!G17</f>
        <v>436.9</v>
      </c>
      <c r="F106" s="8">
        <f>Component_Properties!H17</f>
        <v>913.3</v>
      </c>
      <c r="G106" s="7">
        <f>CHOOSE($B$88,Compositions_Master!H20,Compositions_Master!J20,Compositions_Master!L20,Compositions_Master!N20,Compositions_Master!P20,Compositions_Master!R20,Compositions_Master!T20,Compositions_Master!V20)</f>
        <v>1.04</v>
      </c>
      <c r="H106" s="7">
        <f>Compositions_Master!X20</f>
        <v>3.71</v>
      </c>
      <c r="I106" s="32">
        <f>IF(H106=0,"",G106/H106)</f>
        <v>0.28032345013477089</v>
      </c>
      <c r="J106" s="21" t="e">
        <f>IF(OR(I106="",I106=0),"",LOG10(I106*$B$89))</f>
        <v>#NUM!</v>
      </c>
      <c r="K106" s="21">
        <f>IF(OR(D106=0,F106=D106),"",(LOG10(E106/14.7)/(1/D106-1/F106))*(1/D106-1/$B$90))</f>
        <v>0.63273663738009212</v>
      </c>
    </row>
    <row r="107" spans="1:11">
      <c r="A107" s="23">
        <v>14</v>
      </c>
      <c r="B107" s="24" t="s">
        <v>123</v>
      </c>
      <c r="C107" s="25" t="s">
        <v>124</v>
      </c>
      <c r="D107" s="8">
        <f>Component_Properties!F18</f>
        <v>621</v>
      </c>
      <c r="E107" s="8">
        <f>Component_Properties!G18</f>
        <v>548.9</v>
      </c>
      <c r="F107" s="8">
        <f>Component_Properties!H18</f>
        <v>959.2</v>
      </c>
      <c r="G107" s="7">
        <f>CHOOSE($B$88,Compositions_Master!H21,Compositions_Master!J21,Compositions_Master!L21,Compositions_Master!N21,Compositions_Master!P21,Compositions_Master!R21,Compositions_Master!T21,Compositions_Master!V21)</f>
        <v>0.12</v>
      </c>
      <c r="H107" s="7">
        <f>Compositions_Master!X21</f>
        <v>0.79</v>
      </c>
      <c r="I107" s="32">
        <f>IF(H107=0,"",G107/H107)</f>
        <v>0.15189873417721517</v>
      </c>
      <c r="J107" s="21" t="e">
        <f>IF(OR(I107="",I107=0),"",LOG10(I107*$B$89))</f>
        <v>#NUM!</v>
      </c>
      <c r="K107" s="21">
        <f>IF(OR(D107=0,F107=D107),"",(LOG10(E107/14.7)/(1/D107-1/F107))*(1/D107-1/$B$90))</f>
        <v>0.58984277622248993</v>
      </c>
    </row>
    <row r="108" spans="1:11">
      <c r="A108" s="23">
        <v>15</v>
      </c>
      <c r="B108" s="24" t="s">
        <v>125</v>
      </c>
      <c r="C108" s="25" t="s">
        <v>125</v>
      </c>
      <c r="D108" s="8">
        <f>Component_Properties!F19</f>
        <v>636.29999999999995</v>
      </c>
      <c r="E108" s="8">
        <f>Component_Properties!G19</f>
        <v>710.4</v>
      </c>
      <c r="F108" s="8">
        <f>Component_Properties!H19</f>
        <v>1012</v>
      </c>
      <c r="G108" s="7">
        <f>CHOOSE($B$88,Compositions_Master!H22,Compositions_Master!J22,Compositions_Master!L22,Compositions_Master!N22,Compositions_Master!P22,Compositions_Master!R22,Compositions_Master!T22,Compositions_Master!V22)</f>
        <v>0.03</v>
      </c>
      <c r="H108" s="7">
        <f>Compositions_Master!X22</f>
        <v>0.23</v>
      </c>
      <c r="I108" s="32">
        <f>IF(H108=0,"",G108/H108)</f>
        <v>0.13043478260869565</v>
      </c>
      <c r="J108" s="21" t="e">
        <f>IF(OR(I108="",I108=0),"",LOG10(I108*$B$89))</f>
        <v>#NUM!</v>
      </c>
      <c r="K108" s="21">
        <f>IF(OR(D108=0,F108=D108),"",(LOG10(E108/14.7)/(1/D108-1/F108))*(1/D108-1/$B$90))</f>
        <v>0.50312145727922275</v>
      </c>
    </row>
    <row r="109" spans="1:11">
      <c r="A109" s="23">
        <v>16</v>
      </c>
      <c r="B109" s="24" t="s">
        <v>126</v>
      </c>
      <c r="C109" s="25" t="s">
        <v>127</v>
      </c>
      <c r="D109" s="8">
        <f>Component_Properties!F20</f>
        <v>637.20000000000005</v>
      </c>
      <c r="E109" s="8">
        <f>Component_Properties!G20</f>
        <v>590.79999999999995</v>
      </c>
      <c r="F109" s="8">
        <f>Component_Properties!H20</f>
        <v>996.5</v>
      </c>
      <c r="G109" s="7">
        <f>CHOOSE($B$88,Compositions_Master!H23,Compositions_Master!J23,Compositions_Master!L23,Compositions_Master!N23,Compositions_Master!P23,Compositions_Master!R23,Compositions_Master!T23,Compositions_Master!V23)</f>
        <v>0.16</v>
      </c>
      <c r="H109" s="7">
        <f>Compositions_Master!X23</f>
        <v>0.57999999999999996</v>
      </c>
      <c r="I109" s="32">
        <f>IF(H109=0,"",G109/H109)</f>
        <v>0.27586206896551729</v>
      </c>
      <c r="J109" s="21" t="e">
        <f>IF(OR(I109="",I109=0),"",LOG10(I109*$B$89))</f>
        <v>#NUM!</v>
      </c>
      <c r="K109" s="21">
        <f>IF(OR(D109=0,F109=D109),"",(LOG10(E109/14.7)/(1/D109-1/F109))*(1/D109-1/$B$90))</f>
        <v>0.48780767924990009</v>
      </c>
    </row>
    <row r="110" spans="1:11">
      <c r="A110" s="23">
        <v>17</v>
      </c>
      <c r="B110" s="24" t="s">
        <v>128</v>
      </c>
      <c r="C110" s="25" t="s">
        <v>129</v>
      </c>
      <c r="D110" s="8">
        <f>Component_Properties!F21</f>
        <v>668.8</v>
      </c>
      <c r="E110" s="8">
        <f>Component_Properties!G21</f>
        <v>396.8</v>
      </c>
      <c r="F110" s="8">
        <f>Component_Properties!H21</f>
        <v>972.4</v>
      </c>
      <c r="G110" s="7">
        <f>CHOOSE($B$88,Compositions_Master!H24,Compositions_Master!J24,Compositions_Master!L24,Compositions_Master!N24,Compositions_Master!P24,Compositions_Master!R24,Compositions_Master!T24,Compositions_Master!V24)</f>
        <v>0.37</v>
      </c>
      <c r="H110" s="7">
        <f>Compositions_Master!X24</f>
        <v>5.35</v>
      </c>
      <c r="I110" s="32">
        <f>IF(H110=0,"",G110/H110)</f>
        <v>6.9158878504672908E-2</v>
      </c>
      <c r="J110" s="21" t="e">
        <f>IF(OR(I110="",I110=0),"",LOG10(I110*$B$89))</f>
        <v>#NUM!</v>
      </c>
      <c r="K110" s="21">
        <f>IF(OR(D110=0,F110=D110),"",(LOG10(E110/14.7)/(1/D110-1/F110))*(1/D110-1/$B$90))</f>
        <v>0.30022173963052728</v>
      </c>
    </row>
    <row r="111" spans="1:11">
      <c r="A111" s="23">
        <v>18</v>
      </c>
      <c r="B111" s="24" t="s">
        <v>130</v>
      </c>
      <c r="C111" s="25" t="s">
        <v>131</v>
      </c>
      <c r="D111" s="8">
        <f>Component_Properties!F22</f>
        <v>675</v>
      </c>
      <c r="E111" s="8">
        <f>Component_Properties!G22</f>
        <v>503.5</v>
      </c>
      <c r="F111" s="8">
        <f>Component_Properties!H22</f>
        <v>1029.8</v>
      </c>
      <c r="G111" s="7">
        <f>CHOOSE($B$88,Compositions_Master!H25,Compositions_Master!J25,Compositions_Master!L25,Compositions_Master!N25,Compositions_Master!P25,Compositions_Master!R25,Compositions_Master!T25,Compositions_Master!V25)</f>
        <v>7.0000000000000007E-2</v>
      </c>
      <c r="H111" s="7">
        <f>Compositions_Master!X25</f>
        <v>1.26</v>
      </c>
      <c r="I111" s="32">
        <f>IF(H111=0,"",G111/H111)</f>
        <v>5.5555555555555559E-2</v>
      </c>
      <c r="J111" s="21" t="e">
        <f>IF(OR(I111="",I111=0),"",LOG10(I111*$B$89))</f>
        <v>#NUM!</v>
      </c>
      <c r="K111" s="21">
        <f>IF(OR(D111=0,F111=D111),"",(LOG10(E111/14.7)/(1/D111-1/F111))*(1/D111-1/$B$90))</f>
        <v>0.25313318015136699</v>
      </c>
    </row>
    <row r="112" spans="1:11">
      <c r="A112" s="23">
        <v>19</v>
      </c>
      <c r="B112" s="24" t="s">
        <v>132</v>
      </c>
      <c r="C112" s="25" t="s">
        <v>132</v>
      </c>
      <c r="D112" s="8">
        <f>Component_Properties!F23</f>
        <v>690.5</v>
      </c>
      <c r="E112" s="8">
        <f>Component_Properties!G23</f>
        <v>595.9</v>
      </c>
      <c r="F112" s="8">
        <f>Component_Properties!H23</f>
        <v>1065.5999999999999</v>
      </c>
      <c r="G112" s="7">
        <f>CHOOSE($B$88,Compositions_Master!H26,Compositions_Master!J26,Compositions_Master!L26,Compositions_Master!N26,Compositions_Master!P26,Compositions_Master!R26,Compositions_Master!T26,Compositions_Master!V26)</f>
        <v>7.0000000000000007E-2</v>
      </c>
      <c r="H112" s="7">
        <f>Compositions_Master!X26</f>
        <v>0.98</v>
      </c>
      <c r="I112" s="32">
        <f>IF(H112=0,"",G112/H112)</f>
        <v>7.1428571428571438E-2</v>
      </c>
      <c r="J112" s="21" t="e">
        <f>IF(OR(I112="",I112=0),"",LOG10(I112*$B$89))</f>
        <v>#NUM!</v>
      </c>
      <c r="K112" s="21">
        <f>IF(OR(D112=0,F112=D112),"",(LOG10(E112/14.7)/(1/D112-1/F112))*(1/D112-1/$B$90))</f>
        <v>0.1606440760489295</v>
      </c>
    </row>
    <row r="113" spans="1:11">
      <c r="A113" s="23">
        <v>20</v>
      </c>
      <c r="B113" s="24" t="s">
        <v>133</v>
      </c>
      <c r="C113" s="25" t="s">
        <v>134</v>
      </c>
      <c r="D113" s="8">
        <f>Component_Properties!F24</f>
        <v>717.9</v>
      </c>
      <c r="E113" s="8">
        <f>Component_Properties!G24</f>
        <v>360.7</v>
      </c>
      <c r="F113" s="8">
        <f>Component_Properties!H24</f>
        <v>1023.9</v>
      </c>
      <c r="G113" s="7">
        <f>CHOOSE($B$88,Compositions_Master!H27,Compositions_Master!J27,Compositions_Master!L27,Compositions_Master!N27,Compositions_Master!P27,Compositions_Master!R27,Compositions_Master!T27,Compositions_Master!V27)</f>
        <v>0.27</v>
      </c>
      <c r="H113" s="7">
        <f>Compositions_Master!X27</f>
        <v>6.48</v>
      </c>
      <c r="I113" s="32">
        <f>IF(H113=0,"",G113/H113)</f>
        <v>4.1666666666666664E-2</v>
      </c>
      <c r="J113" s="21" t="e">
        <f>IF(OR(I113="",I113=0),"",LOG10(I113*$B$89))</f>
        <v>#NUM!</v>
      </c>
      <c r="K113" s="21">
        <f>IF(OR(D113=0,F113=D113),"",(LOG10(E113/14.7)/(1/D113-1/F113))*(1/D113-1/$B$90))</f>
        <v>-1.4490703701108873E-2</v>
      </c>
    </row>
    <row r="114" spans="1:11">
      <c r="A114" s="23">
        <v>21</v>
      </c>
      <c r="B114" s="24" t="s">
        <v>135</v>
      </c>
      <c r="C114" s="25" t="s">
        <v>136</v>
      </c>
      <c r="D114" s="8">
        <f>Component_Properties!F25</f>
        <v>735.5</v>
      </c>
      <c r="E114" s="8">
        <f>Component_Properties!G25</f>
        <v>523.5</v>
      </c>
      <c r="F114" s="8">
        <f>Component_Properties!H25</f>
        <v>1111.0999999999999</v>
      </c>
      <c r="G114" s="7">
        <f>CHOOSE($B$88,Compositions_Master!H28,Compositions_Master!J28,Compositions_Master!L28,Compositions_Master!N28,Compositions_Master!P28,Compositions_Master!R28,Compositions_Master!T28,Compositions_Master!V28)</f>
        <v>0.02</v>
      </c>
      <c r="H114" s="7">
        <f>Compositions_Master!X28</f>
        <v>0.73</v>
      </c>
      <c r="I114" s="32">
        <f>IF(H114=0,"",G114/H114)</f>
        <v>2.7397260273972605E-2</v>
      </c>
      <c r="J114" s="21" t="e">
        <f>IF(OR(I114="",I114=0),"",LOG10(I114*$B$89))</f>
        <v>#NUM!</v>
      </c>
      <c r="K114" s="21">
        <f>IF(OR(D114=0,F114=D114),"",(LOG10(E114/14.7)/(1/D114-1/F114))*(1/D114-1/$B$90))</f>
        <v>-0.1271794829566513</v>
      </c>
    </row>
    <row r="115" spans="1:11">
      <c r="A115" s="23">
        <v>22</v>
      </c>
      <c r="B115" s="24" t="s">
        <v>137</v>
      </c>
      <c r="C115" s="25" t="s">
        <v>138</v>
      </c>
      <c r="D115" s="8">
        <f>Component_Properties!F26</f>
        <v>738.4</v>
      </c>
      <c r="E115" s="8">
        <f>Component_Properties!G26</f>
        <v>513.6</v>
      </c>
      <c r="F115" s="8">
        <f>Component_Properties!H26</f>
        <v>1112.8</v>
      </c>
      <c r="G115" s="7">
        <f>CHOOSE($B$88,Compositions_Master!H29,Compositions_Master!J29,Compositions_Master!L29,Compositions_Master!N29,Compositions_Master!P29,Compositions_Master!R29,Compositions_Master!T29,Compositions_Master!V29)</f>
        <v>0.03</v>
      </c>
      <c r="H115" s="7">
        <f>Compositions_Master!X29</f>
        <v>1.38</v>
      </c>
      <c r="I115" s="32">
        <f>IF(H115=0,"",G115/H115)</f>
        <v>2.1739130434782608E-2</v>
      </c>
      <c r="J115" s="21" t="e">
        <f>IF(OR(I115="",I115=0),"",LOG10(I115*$B$89))</f>
        <v>#NUM!</v>
      </c>
      <c r="K115" s="21">
        <f>IF(OR(D115=0,F115=D115),"",(LOG10(E115/14.7)/(1/D115-1/F115))*(1/D115-1/$B$90))</f>
        <v>-0.14568687160147986</v>
      </c>
    </row>
    <row r="116" spans="1:11">
      <c r="A116" s="23">
        <v>23</v>
      </c>
      <c r="B116" s="24" t="s">
        <v>139</v>
      </c>
      <c r="C116" s="25" t="s">
        <v>140</v>
      </c>
      <c r="D116" s="8">
        <f>Component_Properties!F27</f>
        <v>751.9</v>
      </c>
      <c r="E116" s="8">
        <f>Component_Properties!G27</f>
        <v>541.4</v>
      </c>
      <c r="F116" s="8">
        <f>Component_Properties!H27</f>
        <v>1135.4000000000001</v>
      </c>
      <c r="G116" s="7">
        <f>CHOOSE($B$88,Compositions_Master!H30,Compositions_Master!J30,Compositions_Master!L30,Compositions_Master!N30,Compositions_Master!P30,Compositions_Master!R30,Compositions_Master!T30,Compositions_Master!V30)</f>
        <v>0.02</v>
      </c>
      <c r="H116" s="7">
        <f>Compositions_Master!X30</f>
        <v>0.68</v>
      </c>
      <c r="I116" s="32">
        <f>IF(H116=0,"",G116/H116)</f>
        <v>2.9411764705882353E-2</v>
      </c>
      <c r="J116" s="21" t="e">
        <f>IF(OR(I116="",I116=0),"",LOG10(I116*$B$89))</f>
        <v>#NUM!</v>
      </c>
      <c r="K116" s="21">
        <f>IF(OR(D116=0,F116=D116),"",(LOG10(E116/14.7)/(1/D116-1/F116))*(1/D116-1/$B$90))</f>
        <v>-0.23473968472386922</v>
      </c>
    </row>
    <row r="117" spans="1:11">
      <c r="A117" s="23">
        <v>24</v>
      </c>
      <c r="B117" s="24" t="s">
        <v>141</v>
      </c>
      <c r="C117" s="25" t="s">
        <v>142</v>
      </c>
      <c r="D117" s="8">
        <f>Component_Properties!F28</f>
        <v>763.1</v>
      </c>
      <c r="E117" s="8">
        <f>Component_Properties!G28</f>
        <v>331.8</v>
      </c>
      <c r="F117" s="8">
        <f>Component_Properties!H28</f>
        <v>1070.4000000000001</v>
      </c>
      <c r="G117" s="7">
        <f>CHOOSE($B$88,Compositions_Master!H31,Compositions_Master!J31,Compositions_Master!L31,Compositions_Master!N31,Compositions_Master!P31,Compositions_Master!R31,Compositions_Master!T31,Compositions_Master!V31)</f>
        <v>0.17</v>
      </c>
      <c r="H117" s="7">
        <f>Compositions_Master!X31</f>
        <v>5.9</v>
      </c>
      <c r="I117" s="32">
        <f>IF(H117=0,"",G117/H117)</f>
        <v>2.8813559322033899E-2</v>
      </c>
      <c r="J117" s="21" t="e">
        <f>IF(OR(I117="",I117=0),"",LOG10(I117*$B$89))</f>
        <v>#NUM!</v>
      </c>
      <c r="K117" s="21">
        <f>IF(OR(D117=0,F117=D117),"",(LOG10(E117/14.7)/(1/D117-1/F117))*(1/D117-1/$B$90))</f>
        <v>-0.31246476997445294</v>
      </c>
    </row>
    <row r="118" spans="1:11">
      <c r="A118" s="23">
        <v>25</v>
      </c>
      <c r="B118" s="24" t="s">
        <v>143</v>
      </c>
      <c r="C118" s="25" t="s">
        <v>144</v>
      </c>
      <c r="D118" s="8">
        <f>Component_Properties!F29</f>
        <v>807.5</v>
      </c>
      <c r="E118" s="8">
        <f>Component_Properties!G29</f>
        <v>495</v>
      </c>
      <c r="F118" s="8">
        <f>Component_Properties!H29</f>
        <v>1129</v>
      </c>
      <c r="G118" s="7">
        <f>CHOOSE($B$88,Compositions_Master!H32,Compositions_Master!J32,Compositions_Master!L32,Compositions_Master!N32,Compositions_Master!P32,Compositions_Master!R32,Compositions_Master!T32,Compositions_Master!V32)</f>
        <v>0</v>
      </c>
      <c r="H118" s="7">
        <f>Compositions_Master!X32</f>
        <v>0.92</v>
      </c>
      <c r="I118" s="32">
        <f>IF(H118=0,"",G118/H118)</f>
        <v>0</v>
      </c>
      <c r="J118" s="21" t="str">
        <f>IF(OR(I118="",I118=0),"",LOG10(I118*$B$89))</f>
        <v/>
      </c>
      <c r="K118" s="21">
        <f>IF(OR(D118=0,F118=D118),"",(LOG10(E118/14.7)/(1/D118-1/F118))*(1/D118-1/$B$90))</f>
        <v>-0.68818568936700542</v>
      </c>
    </row>
    <row r="119" spans="1:11">
      <c r="A119" s="23">
        <v>26</v>
      </c>
      <c r="B119" s="24" t="s">
        <v>145</v>
      </c>
      <c r="C119" s="25" t="s">
        <v>146</v>
      </c>
      <c r="D119" s="8">
        <f>Component_Properties!F30</f>
        <v>805.2</v>
      </c>
      <c r="E119" s="8">
        <f>Component_Properties!G30</f>
        <v>305.7</v>
      </c>
      <c r="F119" s="8">
        <f>Component_Properties!H30</f>
        <v>1111.8</v>
      </c>
      <c r="G119" s="7">
        <f>CHOOSE($B$88,Compositions_Master!H33,Compositions_Master!J33,Compositions_Master!L33,Compositions_Master!N33,Compositions_Master!P33,Compositions_Master!R33,Compositions_Master!T33,Compositions_Master!V33)</f>
        <v>0.09</v>
      </c>
      <c r="H119" s="7">
        <f>Compositions_Master!X33</f>
        <v>7.2</v>
      </c>
      <c r="I119" s="32">
        <f>IF(H119=0,"",G119/H119)</f>
        <v>1.2499999999999999E-2</v>
      </c>
      <c r="J119" s="21" t="e">
        <f>IF(OR(I119="",I119=0),"",LOG10(I119*$B$89))</f>
        <v>#NUM!</v>
      </c>
      <c r="K119" s="21">
        <f>IF(OR(D119=0,F119=D119),"",(LOG10(E119/14.7)/(1/D119-1/F119))*(1/D119-1/$B$90))</f>
        <v>-0.59788614074105462</v>
      </c>
    </row>
    <row r="120" spans="1:11">
      <c r="A120" s="23">
        <v>27</v>
      </c>
      <c r="B120" s="24" t="s">
        <v>147</v>
      </c>
      <c r="C120" s="25" t="s">
        <v>148</v>
      </c>
      <c r="D120" s="8">
        <f>Component_Properties!F31</f>
        <v>847</v>
      </c>
      <c r="E120" s="8">
        <f>Component_Properties!G31</f>
        <v>285</v>
      </c>
      <c r="F120" s="8">
        <f>Component_Properties!H31</f>
        <v>1150</v>
      </c>
      <c r="G120" s="7">
        <f>CHOOSE($B$88,Compositions_Master!H34,Compositions_Master!J34,Compositions_Master!L34,Compositions_Master!N34,Compositions_Master!P34,Compositions_Master!R34,Compositions_Master!T34,Compositions_Master!V34)</f>
        <v>0.04</v>
      </c>
      <c r="H120" s="7">
        <f>Compositions_Master!X34</f>
        <v>7.11</v>
      </c>
      <c r="I120" s="32">
        <f>IF(H120=0,"",G120/H120)</f>
        <v>5.6258790436005627E-3</v>
      </c>
      <c r="J120" s="21" t="e">
        <f>IF(OR(I120="",I120=0),"",LOG10(I120*$B$89))</f>
        <v>#NUM!</v>
      </c>
      <c r="K120" s="21">
        <f>IF(OR(D120=0,F120=D120),"",(LOG10(E120/14.7)/(1/D120-1/F120))*(1/D120-1/$B$90))</f>
        <v>-0.89673240891768224</v>
      </c>
    </row>
    <row r="121" spans="1:11">
      <c r="A121" s="23">
        <v>28</v>
      </c>
      <c r="B121" s="24" t="s">
        <v>149</v>
      </c>
      <c r="C121" s="25" t="s">
        <v>150</v>
      </c>
      <c r="D121" s="8">
        <f>Component_Properties!F32</f>
        <v>885</v>
      </c>
      <c r="E121" s="8">
        <f>Component_Properties!G32</f>
        <v>264</v>
      </c>
      <c r="F121" s="8">
        <f>Component_Properties!H32</f>
        <v>1185</v>
      </c>
      <c r="G121" s="7">
        <f>CHOOSE($B$88,Compositions_Master!H35,Compositions_Master!J35,Compositions_Master!L35,Compositions_Master!N35,Compositions_Master!P35,Compositions_Master!R35,Compositions_Master!T35,Compositions_Master!V35)</f>
        <v>0</v>
      </c>
      <c r="H121" s="7">
        <f>Compositions_Master!X35</f>
        <v>5.92</v>
      </c>
      <c r="I121" s="32">
        <f>IF(H121=0,"",G121/H121)</f>
        <v>0</v>
      </c>
      <c r="J121" s="21" t="str">
        <f>IF(OR(I121="",I121=0),"",LOG10(I121*$B$89))</f>
        <v/>
      </c>
      <c r="K121" s="21">
        <f>IF(OR(D121=0,F121=D121),"",(LOG10(E121/14.7)/(1/D121-1/F121))*(1/D121-1/$B$90))</f>
        <v>-1.1722357750690136</v>
      </c>
    </row>
    <row r="122" spans="1:11">
      <c r="A122" s="23">
        <v>29</v>
      </c>
      <c r="B122" s="24" t="s">
        <v>151</v>
      </c>
      <c r="C122" s="25" t="s">
        <v>152</v>
      </c>
      <c r="D122" s="8">
        <f>Component_Properties!F33</f>
        <v>923</v>
      </c>
      <c r="E122" s="8">
        <f>Component_Properties!G33</f>
        <v>246</v>
      </c>
      <c r="F122" s="8">
        <f>Component_Properties!H33</f>
        <v>1220</v>
      </c>
      <c r="G122" s="7">
        <f>CHOOSE($B$88,Compositions_Master!H36,Compositions_Master!J36,Compositions_Master!L36,Compositions_Master!N36,Compositions_Master!P36,Compositions_Master!R36,Compositions_Master!T36,Compositions_Master!V36)</f>
        <v>0</v>
      </c>
      <c r="H122" s="7">
        <f>Compositions_Master!X36</f>
        <v>5.27</v>
      </c>
      <c r="I122" s="32">
        <f>IF(H122=0,"",G122/H122)</f>
        <v>0</v>
      </c>
      <c r="J122" s="21" t="str">
        <f>IF(OR(I122="",I122=0),"",LOG10(I122*$B$89))</f>
        <v/>
      </c>
      <c r="K122" s="21">
        <f>IF(OR(D122=0,F122=D122),"",(LOG10(E122/14.7)/(1/D122-1/F122))*(1/D122-1/$B$90))</f>
        <v>-1.4561244451150186</v>
      </c>
    </row>
    <row r="123" spans="1:11">
      <c r="A123" s="23">
        <v>30</v>
      </c>
      <c r="B123" s="24" t="s">
        <v>153</v>
      </c>
      <c r="C123" s="25" t="s">
        <v>154</v>
      </c>
      <c r="D123" s="8">
        <f>Component_Properties!F34</f>
        <v>958</v>
      </c>
      <c r="E123" s="8">
        <f>Component_Properties!G34</f>
        <v>230</v>
      </c>
      <c r="F123" s="8">
        <f>Component_Properties!H34</f>
        <v>1250</v>
      </c>
      <c r="G123" s="7">
        <f>CHOOSE($B$88,Compositions_Master!H37,Compositions_Master!J37,Compositions_Master!L37,Compositions_Master!N37,Compositions_Master!P37,Compositions_Master!R37,Compositions_Master!T37,Compositions_Master!V37)</f>
        <v>0</v>
      </c>
      <c r="H123" s="7">
        <f>Compositions_Master!X37</f>
        <v>4.6100000000000003</v>
      </c>
      <c r="I123" s="32">
        <f>IF(H123=0,"",G123/H123)</f>
        <v>0</v>
      </c>
      <c r="J123" s="21" t="str">
        <f>IF(OR(I123="",I123=0),"",LOG10(I123*$B$89))</f>
        <v/>
      </c>
      <c r="K123" s="21">
        <f>IF(OR(D123=0,F123=D123),"",(LOG10(E123/14.7)/(1/D123-1/F123))*(1/D123-1/$B$90))</f>
        <v>-1.7313112234793127</v>
      </c>
    </row>
    <row r="124" spans="1:11">
      <c r="A124" s="23">
        <v>31</v>
      </c>
      <c r="B124" s="24" t="s">
        <v>155</v>
      </c>
      <c r="C124" s="25" t="s">
        <v>156</v>
      </c>
      <c r="D124" s="8">
        <f>Component_Properties!F35</f>
        <v>991</v>
      </c>
      <c r="E124" s="8">
        <f>Component_Properties!G35</f>
        <v>217</v>
      </c>
      <c r="F124" s="8">
        <f>Component_Properties!H35</f>
        <v>1280</v>
      </c>
      <c r="G124" s="7">
        <f>CHOOSE($B$88,Compositions_Master!H38,Compositions_Master!J38,Compositions_Master!L38,Compositions_Master!N38,Compositions_Master!P38,Compositions_Master!R38,Compositions_Master!T38,Compositions_Master!V38)</f>
        <v>0</v>
      </c>
      <c r="H124" s="7">
        <f>Compositions_Master!X38</f>
        <v>4.1399999999999997</v>
      </c>
      <c r="I124" s="32">
        <f>IF(H124=0,"",G124/H124)</f>
        <v>0</v>
      </c>
      <c r="J124" s="21" t="str">
        <f>IF(OR(I124="",I124=0),"",LOG10(I124*$B$89))</f>
        <v/>
      </c>
      <c r="K124" s="21">
        <f>IF(OR(D124=0,F124=D124),"",(LOG10(E124/14.7)/(1/D124-1/F124))*(1/D124-1/$B$90))</f>
        <v>-1.9921418530534398</v>
      </c>
    </row>
    <row r="125" spans="1:11">
      <c r="A125" s="23">
        <v>32</v>
      </c>
      <c r="B125" s="24" t="s">
        <v>157</v>
      </c>
      <c r="C125" s="25" t="s">
        <v>158</v>
      </c>
      <c r="D125" s="8">
        <f>Component_Properties!F36</f>
        <v>1020</v>
      </c>
      <c r="E125" s="8">
        <f>Component_Properties!G36</f>
        <v>205</v>
      </c>
      <c r="F125" s="8">
        <f>Component_Properties!H36</f>
        <v>1305</v>
      </c>
      <c r="G125" s="7">
        <f>CHOOSE($B$88,Compositions_Master!H39,Compositions_Master!J39,Compositions_Master!L39,Compositions_Master!N39,Compositions_Master!P39,Compositions_Master!R39,Compositions_Master!T39,Compositions_Master!V39)</f>
        <v>0</v>
      </c>
      <c r="H125" s="7">
        <f>Compositions_Master!X39</f>
        <v>3.48</v>
      </c>
      <c r="I125" s="32">
        <f>IF(H125=0,"",G125/H125)</f>
        <v>0</v>
      </c>
      <c r="J125" s="21" t="str">
        <f>IF(OR(I125="",I125=0),"",LOG10(I125*$B$89))</f>
        <v/>
      </c>
      <c r="K125" s="21">
        <f>IF(OR(D125=0,F125=D125),"",(LOG10(E125/14.7)/(1/D125-1/F125))*(1/D125-1/$B$90))</f>
        <v>-2.2283803267496207</v>
      </c>
    </row>
    <row r="126" spans="1:11">
      <c r="A126" s="23">
        <v>33</v>
      </c>
      <c r="B126" s="24" t="s">
        <v>159</v>
      </c>
      <c r="C126" s="25" t="s">
        <v>160</v>
      </c>
      <c r="D126" s="8">
        <f>Component_Properties!F37</f>
        <v>1049</v>
      </c>
      <c r="E126" s="8">
        <f>Component_Properties!G37</f>
        <v>193</v>
      </c>
      <c r="F126" s="8">
        <f>Component_Properties!H37</f>
        <v>1332</v>
      </c>
      <c r="G126" s="7">
        <f>CHOOSE($B$88,Compositions_Master!H40,Compositions_Master!J40,Compositions_Master!L40,Compositions_Master!N40,Compositions_Master!P40,Compositions_Master!R40,Compositions_Master!T40,Compositions_Master!V40)</f>
        <v>0</v>
      </c>
      <c r="H126" s="7">
        <f>Compositions_Master!X40</f>
        <v>2.91</v>
      </c>
      <c r="I126" s="32">
        <f>IF(H126=0,"",G126/H126)</f>
        <v>0</v>
      </c>
      <c r="J126" s="21" t="str">
        <f>IF(OR(I126="",I126=0),"",LOG10(I126*$B$89))</f>
        <v/>
      </c>
      <c r="K126" s="21">
        <f>IF(OR(D126=0,F126=D126),"",(LOG10(E126/14.7)/(1/D126-1/F126))*(1/D126-1/$B$90))</f>
        <v>-2.4514011881020017</v>
      </c>
    </row>
    <row r="127" spans="1:11">
      <c r="A127" s="23">
        <v>34</v>
      </c>
      <c r="B127" s="24" t="s">
        <v>161</v>
      </c>
      <c r="C127" s="25" t="s">
        <v>162</v>
      </c>
      <c r="D127" s="8">
        <f>Component_Properties!F38</f>
        <v>1075</v>
      </c>
      <c r="E127" s="8">
        <f>Component_Properties!G38</f>
        <v>186</v>
      </c>
      <c r="F127" s="8">
        <f>Component_Properties!H38</f>
        <v>1354</v>
      </c>
      <c r="G127" s="7">
        <f>CHOOSE($B$88,Compositions_Master!H41,Compositions_Master!J41,Compositions_Master!L41,Compositions_Master!N41,Compositions_Master!P41,Compositions_Master!R41,Compositions_Master!T41,Compositions_Master!V41)</f>
        <v>0</v>
      </c>
      <c r="H127" s="7">
        <f>Compositions_Master!X41</f>
        <v>2.64</v>
      </c>
      <c r="I127" s="32">
        <f>IF(H127=0,"",G127/H127)</f>
        <v>0</v>
      </c>
      <c r="J127" s="21" t="str">
        <f>IF(OR(I127="",I127=0),"",LOG10(I127*$B$89))</f>
        <v/>
      </c>
      <c r="K127" s="21">
        <f>IF(OR(D127=0,F127=D127),"",(LOG10(E127/14.7)/(1/D127-1/F127))*(1/D127-1/$B$90))</f>
        <v>-2.6856771408326212</v>
      </c>
    </row>
    <row r="128" spans="1:11">
      <c r="A128" s="23">
        <v>35</v>
      </c>
      <c r="B128" s="24" t="s">
        <v>163</v>
      </c>
      <c r="C128" s="25" t="s">
        <v>164</v>
      </c>
      <c r="D128" s="8">
        <f>Component_Properties!F39</f>
        <v>1101</v>
      </c>
      <c r="E128" s="8">
        <f>Component_Properties!G39</f>
        <v>175</v>
      </c>
      <c r="F128" s="8">
        <f>Component_Properties!H39</f>
        <v>1381</v>
      </c>
      <c r="G128" s="7">
        <f>CHOOSE($B$88,Compositions_Master!H42,Compositions_Master!J42,Compositions_Master!L42,Compositions_Master!N42,Compositions_Master!P42,Compositions_Master!R42,Compositions_Master!T42,Compositions_Master!V42)</f>
        <v>0</v>
      </c>
      <c r="H128" s="7">
        <f>Compositions_Master!X42</f>
        <v>2.54</v>
      </c>
      <c r="I128" s="32">
        <f>IF(H128=0,"",G128/H128)</f>
        <v>0</v>
      </c>
      <c r="J128" s="21" t="str">
        <f>IF(OR(I128="",I128=0),"",LOG10(I128*$B$89))</f>
        <v/>
      </c>
      <c r="K128" s="21">
        <f>IF(OR(D128=0,F128=D128),"",(LOG10(E128/14.7)/(1/D128-1/F128))*(1/D128-1/$B$90))</f>
        <v>-2.8566378657718907</v>
      </c>
    </row>
    <row r="129" spans="1:11">
      <c r="A129" s="23">
        <v>36</v>
      </c>
      <c r="B129" s="24" t="s">
        <v>165</v>
      </c>
      <c r="C129" s="25" t="s">
        <v>166</v>
      </c>
      <c r="D129" s="8">
        <f>Component_Properties!F40</f>
        <v>1124</v>
      </c>
      <c r="E129" s="8">
        <f>Component_Properties!G40</f>
        <v>167</v>
      </c>
      <c r="F129" s="8">
        <f>Component_Properties!H40</f>
        <v>1402</v>
      </c>
      <c r="G129" s="7">
        <f>CHOOSE($B$88,Compositions_Master!H43,Compositions_Master!J43,Compositions_Master!L43,Compositions_Master!N43,Compositions_Master!P43,Compositions_Master!R43,Compositions_Master!T43,Compositions_Master!V43)</f>
        <v>0</v>
      </c>
      <c r="H129" s="7">
        <f>Compositions_Master!X43</f>
        <v>2.1800000000000002</v>
      </c>
      <c r="I129" s="32">
        <f>IF(H129=0,"",G129/H129)</f>
        <v>0</v>
      </c>
      <c r="J129" s="21" t="str">
        <f>IF(OR(I129="",I129=0),"",LOG10(I129*$B$89))</f>
        <v/>
      </c>
      <c r="K129" s="21">
        <f>IF(OR(D129=0,F129=D129),"",(LOG10(E129/14.7)/(1/D129-1/F129))*(1/D129-1/$B$90))</f>
        <v>-3.0368156466707301</v>
      </c>
    </row>
    <row r="130" spans="1:11">
      <c r="A130" s="23">
        <v>37</v>
      </c>
      <c r="B130" s="24" t="s">
        <v>167</v>
      </c>
      <c r="C130" s="25" t="s">
        <v>168</v>
      </c>
      <c r="D130" s="8">
        <f>Component_Properties!F41</f>
        <v>1146</v>
      </c>
      <c r="E130" s="8">
        <f>Component_Properties!G41</f>
        <v>159</v>
      </c>
      <c r="F130" s="8">
        <f>Component_Properties!H41</f>
        <v>1424</v>
      </c>
      <c r="G130" s="7">
        <f>CHOOSE($B$88,Compositions_Master!H44,Compositions_Master!J44,Compositions_Master!L44,Compositions_Master!N44,Compositions_Master!P44,Compositions_Master!R44,Compositions_Master!T44,Compositions_Master!V44)</f>
        <v>0</v>
      </c>
      <c r="H130" s="7">
        <f>Compositions_Master!X44</f>
        <v>1.95</v>
      </c>
      <c r="I130" s="32">
        <f>IF(H130=0,"",G130/H130)</f>
        <v>0</v>
      </c>
      <c r="J130" s="21" t="str">
        <f>IF(OR(I130="",I130=0),"",LOG10(I130*$B$89))</f>
        <v/>
      </c>
      <c r="K130" s="21">
        <f>IF(OR(D130=0,F130=D130),"",(LOG10(E130/14.7)/(1/D130-1/F130))*(1/D130-1/$B$90))</f>
        <v>-3.1849898642325258</v>
      </c>
    </row>
    <row r="131" spans="1:11">
      <c r="A131" s="23">
        <v>38</v>
      </c>
      <c r="B131" s="24" t="s">
        <v>169</v>
      </c>
      <c r="C131" s="25" t="s">
        <v>170</v>
      </c>
      <c r="D131" s="8">
        <f>Component_Properties!F42</f>
        <v>1167</v>
      </c>
      <c r="E131" s="8">
        <f>Component_Properties!G42</f>
        <v>152</v>
      </c>
      <c r="F131" s="8">
        <f>Component_Properties!H42</f>
        <v>1442</v>
      </c>
      <c r="G131" s="7">
        <f>CHOOSE($B$88,Compositions_Master!H45,Compositions_Master!J45,Compositions_Master!L45,Compositions_Master!N45,Compositions_Master!P45,Compositions_Master!R45,Compositions_Master!T45,Compositions_Master!V45)</f>
        <v>0</v>
      </c>
      <c r="H131" s="7">
        <f>Compositions_Master!X45</f>
        <v>1.7</v>
      </c>
      <c r="I131" s="32">
        <f>IF(H131=0,"",G131/H131)</f>
        <v>0</v>
      </c>
      <c r="J131" s="21" t="str">
        <f>IF(OR(I131="",I131=0),"",LOG10(I131*$B$89))</f>
        <v/>
      </c>
      <c r="K131" s="21">
        <f>IF(OR(D131=0,F131=D131),"",(LOG10(E131/14.7)/(1/D131-1/F131))*(1/D131-1/$B$90))</f>
        <v>-3.3548819733789279</v>
      </c>
    </row>
    <row r="132" spans="1:11">
      <c r="A132" s="23">
        <v>39</v>
      </c>
      <c r="B132" s="24" t="s">
        <v>171</v>
      </c>
      <c r="C132" s="25" t="s">
        <v>172</v>
      </c>
      <c r="D132" s="8">
        <f>Component_Properties!F43</f>
        <v>1187</v>
      </c>
      <c r="E132" s="8">
        <f>Component_Properties!G43</f>
        <v>146</v>
      </c>
      <c r="F132" s="8">
        <f>Component_Properties!H43</f>
        <v>1460</v>
      </c>
      <c r="G132" s="7">
        <f>CHOOSE($B$88,Compositions_Master!H46,Compositions_Master!J46,Compositions_Master!L46,Compositions_Master!N46,Compositions_Master!P46,Compositions_Master!R46,Compositions_Master!T46,Compositions_Master!V46)</f>
        <v>0</v>
      </c>
      <c r="H132" s="7">
        <f>Compositions_Master!X46</f>
        <v>1.51</v>
      </c>
      <c r="I132" s="32">
        <f>IF(H132=0,"",G132/H132)</f>
        <v>0</v>
      </c>
      <c r="J132" s="21" t="str">
        <f>IF(OR(I132="",I132=0),"",LOG10(I132*$B$89))</f>
        <v/>
      </c>
      <c r="K132" s="21">
        <f>IF(OR(D132=0,F132=D132),"",(LOG10(E132/14.7)/(1/D132-1/F132))*(1/D132-1/$B$90))</f>
        <v>-3.51166525483782</v>
      </c>
    </row>
    <row r="133" spans="1:11">
      <c r="A133" s="23">
        <v>40</v>
      </c>
      <c r="B133" s="24" t="s">
        <v>173</v>
      </c>
      <c r="C133" s="25" t="s">
        <v>174</v>
      </c>
      <c r="D133" s="8">
        <f>Component_Properties!F44</f>
        <v>1207</v>
      </c>
      <c r="E133" s="8">
        <f>Component_Properties!G44</f>
        <v>140</v>
      </c>
      <c r="F133" s="8">
        <f>Component_Properties!H44</f>
        <v>1478</v>
      </c>
      <c r="G133" s="7">
        <f>CHOOSE($B$88,Compositions_Master!H47,Compositions_Master!J47,Compositions_Master!L47,Compositions_Master!N47,Compositions_Master!P47,Compositions_Master!R47,Compositions_Master!T47,Compositions_Master!V47)</f>
        <v>0</v>
      </c>
      <c r="H133" s="7">
        <f>Compositions_Master!X47</f>
        <v>1.36</v>
      </c>
      <c r="I133" s="32">
        <f>IF(H133=0,"",G133/H133)</f>
        <v>0</v>
      </c>
      <c r="J133" s="21" t="str">
        <f>IF(OR(I133="",I133=0),"",LOG10(I133*$B$89))</f>
        <v/>
      </c>
      <c r="K133" s="21">
        <f>IF(OR(D133=0,F133=D133),"",(LOG10(E133/14.7)/(1/D133-1/F133))*(1/D133-1/$B$90))</f>
        <v>-3.6649185039715633</v>
      </c>
    </row>
    <row r="134" spans="1:11">
      <c r="A134" s="23">
        <v>41</v>
      </c>
      <c r="B134" s="24" t="s">
        <v>175</v>
      </c>
      <c r="C134" s="25" t="s">
        <v>176</v>
      </c>
      <c r="D134" s="8">
        <f>Component_Properties!F45</f>
        <v>1226</v>
      </c>
      <c r="E134" s="8">
        <f>Component_Properties!G45</f>
        <v>134</v>
      </c>
      <c r="F134" s="8">
        <f>Component_Properties!H45</f>
        <v>1494</v>
      </c>
      <c r="G134" s="7">
        <f>CHOOSE($B$88,Compositions_Master!H48,Compositions_Master!J48,Compositions_Master!L48,Compositions_Master!N48,Compositions_Master!P48,Compositions_Master!R48,Compositions_Master!T48,Compositions_Master!V48)</f>
        <v>0</v>
      </c>
      <c r="H134" s="7">
        <f>Compositions_Master!X48</f>
        <v>1.21</v>
      </c>
      <c r="I134" s="32">
        <f>IF(H134=0,"",G134/H134)</f>
        <v>0</v>
      </c>
      <c r="J134" s="21" t="str">
        <f>IF(OR(I134="",I134=0),"",LOG10(I134*$B$89))</f>
        <v/>
      </c>
      <c r="K134" s="21">
        <f>IF(OR(D134=0,F134=D134),"",(LOG10(E134/14.7)/(1/D134-1/F134))*(1/D134-1/$B$90))</f>
        <v>-3.8153041354389345</v>
      </c>
    </row>
    <row r="135" spans="1:11">
      <c r="A135" s="23">
        <v>42</v>
      </c>
      <c r="B135" s="24" t="s">
        <v>177</v>
      </c>
      <c r="C135" s="25" t="s">
        <v>178</v>
      </c>
      <c r="D135" s="8">
        <f>Component_Properties!F46</f>
        <v>1244</v>
      </c>
      <c r="E135" s="8">
        <f>Component_Properties!G46</f>
        <v>129</v>
      </c>
      <c r="F135" s="8">
        <f>Component_Properties!H46</f>
        <v>1509</v>
      </c>
      <c r="G135" s="7">
        <f>CHOOSE($B$88,Compositions_Master!H49,Compositions_Master!J49,Compositions_Master!L49,Compositions_Master!N49,Compositions_Master!P49,Compositions_Master!R49,Compositions_Master!T49,Compositions_Master!V49)</f>
        <v>0</v>
      </c>
      <c r="H135" s="7">
        <f>Compositions_Master!X49</f>
        <v>1.08</v>
      </c>
      <c r="I135" s="32">
        <f>IF(H135=0,"",G135/H135)</f>
        <v>0</v>
      </c>
      <c r="J135" s="21" t="str">
        <f>IF(OR(I135="",I135=0),"",LOG10(I135*$B$89))</f>
        <v/>
      </c>
      <c r="K135" s="21">
        <f>IF(OR(D135=0,F135=D135),"",(LOG10(E135/14.7)/(1/D135-1/F135))*(1/D135-1/$B$90))</f>
        <v>-3.9652716143807267</v>
      </c>
    </row>
    <row r="136" spans="1:11">
      <c r="A136" s="23">
        <v>43</v>
      </c>
      <c r="B136" s="24" t="s">
        <v>179</v>
      </c>
      <c r="C136" s="25" t="s">
        <v>180</v>
      </c>
      <c r="D136" s="8">
        <f>Component_Properties!F47</f>
        <v>1262</v>
      </c>
      <c r="E136" s="8">
        <f>Component_Properties!G47</f>
        <v>125</v>
      </c>
      <c r="F136" s="8">
        <f>Component_Properties!H47</f>
        <v>1523</v>
      </c>
      <c r="G136" s="7">
        <f>CHOOSE($B$88,Compositions_Master!H50,Compositions_Master!J50,Compositions_Master!L50,Compositions_Master!N50,Compositions_Master!P50,Compositions_Master!R50,Compositions_Master!T50,Compositions_Master!V50)</f>
        <v>0</v>
      </c>
      <c r="H136" s="7">
        <f>Compositions_Master!X50</f>
        <v>0.97</v>
      </c>
      <c r="I136" s="32">
        <f>IF(H136=0,"",G136/H136)</f>
        <v>0</v>
      </c>
      <c r="J136" s="21" t="str">
        <f>IF(OR(I136="",I136=0),"",LOG10(I136*$B$89))</f>
        <v/>
      </c>
      <c r="K136" s="21">
        <f>IF(OR(D136=0,F136=D136),"",(LOG10(E136/14.7)/(1/D136-1/F136))*(1/D136-1/$B$90))</f>
        <v>-4.1408960364531309</v>
      </c>
    </row>
    <row r="137" spans="1:11">
      <c r="A137" s="23">
        <v>44</v>
      </c>
      <c r="B137" s="24" t="s">
        <v>181</v>
      </c>
      <c r="C137" s="25" t="s">
        <v>182</v>
      </c>
      <c r="D137" s="8">
        <f>Component_Properties!F48</f>
        <v>1277</v>
      </c>
      <c r="E137" s="8">
        <f>Component_Properties!G48</f>
        <v>120</v>
      </c>
      <c r="F137" s="8">
        <f>Component_Properties!H48</f>
        <v>1537</v>
      </c>
      <c r="G137" s="7">
        <f>CHOOSE($B$88,Compositions_Master!H51,Compositions_Master!J51,Compositions_Master!L51,Compositions_Master!N51,Compositions_Master!P51,Compositions_Master!R51,Compositions_Master!T51,Compositions_Master!V51)</f>
        <v>0</v>
      </c>
      <c r="H137" s="7">
        <f>Compositions_Master!X51</f>
        <v>0.92</v>
      </c>
      <c r="I137" s="32">
        <f>IF(H137=0,"",G137/H137)</f>
        <v>0</v>
      </c>
      <c r="J137" s="21" t="str">
        <f>IF(OR(I137="",I137=0),"",LOG10(I137*$B$89))</f>
        <v/>
      </c>
      <c r="K137" s="21">
        <f>IF(OR(D137=0,F137=D137),"",(LOG10(E137/14.7)/(1/D137-1/F137))*(1/D137-1/$B$90))</f>
        <v>-4.2280098318830825</v>
      </c>
    </row>
    <row r="138" spans="1:11">
      <c r="A138" s="23">
        <v>45</v>
      </c>
      <c r="B138" s="24" t="s">
        <v>183</v>
      </c>
      <c r="C138" s="25" t="s">
        <v>184</v>
      </c>
      <c r="D138" s="8">
        <f>Component_Properties!F49</f>
        <v>1294</v>
      </c>
      <c r="E138" s="8">
        <f>Component_Properties!G49</f>
        <v>116</v>
      </c>
      <c r="F138" s="8">
        <f>Component_Properties!H49</f>
        <v>1550</v>
      </c>
      <c r="G138" s="7">
        <f>CHOOSE($B$88,Compositions_Master!H52,Compositions_Master!J52,Compositions_Master!L52,Compositions_Master!N52,Compositions_Master!P52,Compositions_Master!R52,Compositions_Master!T52,Compositions_Master!V52)</f>
        <v>0</v>
      </c>
      <c r="H138" s="7">
        <f>Compositions_Master!X52</f>
        <v>0.83</v>
      </c>
      <c r="I138" s="32">
        <f>IF(H138=0,"",G138/H138)</f>
        <v>0</v>
      </c>
      <c r="J138" s="21" t="str">
        <f>IF(OR(I138="",I138=0),"",LOG10(I138*$B$89))</f>
        <v/>
      </c>
      <c r="K138" s="21">
        <f>IF(OR(D138=0,F138=D138),"",(LOG10(E138/14.7)/(1/D138-1/F138))*(1/D138-1/$B$90))</f>
        <v>-4.3895012704019445</v>
      </c>
    </row>
    <row r="139" spans="1:11">
      <c r="A139" s="23">
        <v>46</v>
      </c>
      <c r="B139" s="24" t="s">
        <v>185</v>
      </c>
      <c r="C139" s="25" t="s">
        <v>186</v>
      </c>
      <c r="D139" s="8">
        <f>Component_Properties!F50</f>
        <v>1310</v>
      </c>
      <c r="E139" s="8">
        <f>Component_Properties!G50</f>
        <v>112</v>
      </c>
      <c r="F139" s="8">
        <f>Component_Properties!H50</f>
        <v>1563</v>
      </c>
      <c r="G139" s="7">
        <f>CHOOSE($B$88,Compositions_Master!H53,Compositions_Master!J53,Compositions_Master!L53,Compositions_Master!N53,Compositions_Master!P53,Compositions_Master!R53,Compositions_Master!T53,Compositions_Master!V53)</f>
        <v>0</v>
      </c>
      <c r="H139" s="7">
        <f>Compositions_Master!X53</f>
        <v>0.77</v>
      </c>
      <c r="I139" s="32">
        <f>IF(H139=0,"",G139/H139)</f>
        <v>0</v>
      </c>
      <c r="J139" s="21" t="str">
        <f>IF(OR(I139="",I139=0),"",LOG10(I139*$B$89))</f>
        <v/>
      </c>
      <c r="K139" s="21">
        <f>IF(OR(D139=0,F139=D139),"",(LOG10(E139/14.7)/(1/D139-1/F139))*(1/D139-1/$B$90))</f>
        <v>-4.5245248560181519</v>
      </c>
    </row>
    <row r="140" spans="1:11">
      <c r="A140" s="23">
        <v>47</v>
      </c>
      <c r="B140" s="24" t="s">
        <v>187</v>
      </c>
      <c r="C140" s="25" t="s">
        <v>188</v>
      </c>
      <c r="D140" s="8">
        <f>Component_Properties!F51</f>
        <v>1323</v>
      </c>
      <c r="E140" s="8">
        <f>Component_Properties!G51</f>
        <v>108</v>
      </c>
      <c r="F140" s="8">
        <f>Component_Properties!H51</f>
        <v>1574</v>
      </c>
      <c r="G140" s="7">
        <f>CHOOSE($B$88,Compositions_Master!H54,Compositions_Master!J54,Compositions_Master!L54,Compositions_Master!N54,Compositions_Master!P54,Compositions_Master!R54,Compositions_Master!T54,Compositions_Master!V54)</f>
        <v>0</v>
      </c>
      <c r="H140" s="7">
        <f>Compositions_Master!X54</f>
        <v>0.69</v>
      </c>
      <c r="I140" s="32">
        <f>IF(H140=0,"",G140/H140)</f>
        <v>0</v>
      </c>
      <c r="J140" s="21" t="str">
        <f>IF(OR(I140="",I140=0),"",LOG10(I140*$B$89))</f>
        <v/>
      </c>
      <c r="K140" s="21">
        <f>IF(OR(D140=0,F140=D140),"",(LOG10(E140/14.7)/(1/D140-1/F140))*(1/D140-1/$B$90))</f>
        <v>-4.6090793659459308</v>
      </c>
    </row>
    <row r="141" spans="1:11">
      <c r="A141" s="23">
        <v>48</v>
      </c>
      <c r="B141" s="24" t="s">
        <v>189</v>
      </c>
      <c r="C141" s="25" t="s">
        <v>190</v>
      </c>
      <c r="D141" s="8">
        <f>Component_Properties!F52</f>
        <v>1335</v>
      </c>
      <c r="E141" s="8">
        <f>Component_Properties!G52</f>
        <v>104</v>
      </c>
      <c r="F141" s="8">
        <f>Component_Properties!H52</f>
        <v>1584</v>
      </c>
      <c r="G141" s="7">
        <f>CHOOSE($B$88,Compositions_Master!H55,Compositions_Master!J55,Compositions_Master!L55,Compositions_Master!N55,Compositions_Master!P55,Compositions_Master!R55,Compositions_Master!T55,Compositions_Master!V55)</f>
        <v>0</v>
      </c>
      <c r="H141" s="7">
        <f>Compositions_Master!X55</f>
        <v>0.61</v>
      </c>
      <c r="I141" s="32">
        <f>IF(H141=0,"",G141/H141)</f>
        <v>0</v>
      </c>
      <c r="J141" s="21" t="str">
        <f>IF(OR(I141="",I141=0),"",LOG10(I141*$B$89))</f>
        <v/>
      </c>
      <c r="K141" s="21">
        <f>IF(OR(D141=0,F141=D141),"",(LOG10(E141/14.7)/(1/D141-1/F141))*(1/D141-1/$B$90))</f>
        <v>-4.6777707453831869</v>
      </c>
    </row>
    <row r="142" spans="1:11">
      <c r="A142" s="23">
        <v>49</v>
      </c>
      <c r="B142" s="24" t="s">
        <v>191</v>
      </c>
      <c r="C142" s="25" t="s">
        <v>192</v>
      </c>
      <c r="D142" s="8">
        <f>Component_Properties!F53</f>
        <v>1349</v>
      </c>
      <c r="E142" s="8">
        <f>Component_Properties!G53</f>
        <v>101</v>
      </c>
      <c r="F142" s="8">
        <f>Component_Properties!H53</f>
        <v>1594</v>
      </c>
      <c r="G142" s="7">
        <f>CHOOSE($B$88,Compositions_Master!H56,Compositions_Master!J56,Compositions_Master!L56,Compositions_Master!N56,Compositions_Master!P56,Compositions_Master!R56,Compositions_Master!T56,Compositions_Master!V56)</f>
        <v>0</v>
      </c>
      <c r="H142" s="7">
        <f>Compositions_Master!X56</f>
        <v>0.56000000000000005</v>
      </c>
      <c r="I142" s="32">
        <f>IF(H142=0,"",G142/H142)</f>
        <v>0</v>
      </c>
      <c r="J142" s="21" t="str">
        <f>IF(OR(I142="",I142=0),"",LOG10(I142*$B$89))</f>
        <v/>
      </c>
      <c r="K142" s="21">
        <f>IF(OR(D142=0,F142=D142),"",(LOG10(E142/14.7)/(1/D142-1/F142))*(1/D142-1/$B$90))</f>
        <v>-4.8191121621067943</v>
      </c>
    </row>
    <row r="143" spans="1:11">
      <c r="A143" s="23">
        <v>50</v>
      </c>
      <c r="B143" s="24" t="s">
        <v>193</v>
      </c>
      <c r="C143" s="25" t="s">
        <v>194</v>
      </c>
      <c r="D143" s="8">
        <f>Component_Properties!F54</f>
        <v>1360</v>
      </c>
      <c r="E143" s="8">
        <f>Component_Properties!G54</f>
        <v>98</v>
      </c>
      <c r="F143" s="8">
        <f>Component_Properties!H54</f>
        <v>1603</v>
      </c>
      <c r="G143" s="7">
        <f>CHOOSE($B$88,Compositions_Master!H57,Compositions_Master!J57,Compositions_Master!L57,Compositions_Master!N57,Compositions_Master!P57,Compositions_Master!R57,Compositions_Master!T57,Compositions_Master!V57)</f>
        <v>0</v>
      </c>
      <c r="H143" s="7">
        <f>Compositions_Master!X57</f>
        <v>0.53</v>
      </c>
      <c r="I143" s="32">
        <f>IF(H143=0,"",G143/H143)</f>
        <v>0</v>
      </c>
      <c r="J143" s="21" t="str">
        <f>IF(OR(I143="",I143=0),"",LOG10(I143*$B$89))</f>
        <v/>
      </c>
      <c r="K143" s="21">
        <f>IF(OR(D143=0,F143=D143),"",(LOG10(E143/14.7)/(1/D143-1/F143))*(1/D143-1/$B$90))</f>
        <v>-4.8933006392375509</v>
      </c>
    </row>
    <row r="144" spans="1:11">
      <c r="A144" s="23">
        <v>51</v>
      </c>
      <c r="B144" s="24" t="s">
        <v>195</v>
      </c>
      <c r="C144" s="25" t="s">
        <v>196</v>
      </c>
      <c r="D144" s="8">
        <f>Component_Properties!F55</f>
        <v>1373</v>
      </c>
      <c r="E144" s="8">
        <f>Component_Properties!G55</f>
        <v>95</v>
      </c>
      <c r="F144" s="8">
        <f>Component_Properties!H55</f>
        <v>1612</v>
      </c>
      <c r="G144" s="7">
        <f>CHOOSE($B$88,Compositions_Master!H58,Compositions_Master!J58,Compositions_Master!L58,Compositions_Master!N58,Compositions_Master!P58,Compositions_Master!R58,Compositions_Master!T58,Compositions_Master!V58)</f>
        <v>0</v>
      </c>
      <c r="H144" s="7">
        <f>Compositions_Master!X58</f>
        <v>0.49</v>
      </c>
      <c r="I144" s="32">
        <f>IF(H144=0,"",G144/H144)</f>
        <v>0</v>
      </c>
      <c r="J144" s="21" t="str">
        <f>IF(OR(I144="",I144=0),"",LOG10(I144*$B$89))</f>
        <v/>
      </c>
      <c r="K144" s="21">
        <f>IF(OR(D144=0,F144=D144),"",(LOG10(E144/14.7)/(1/D144-1/F144))*(1/D144-1/$B$90))</f>
        <v>-5.0204260030611394</v>
      </c>
    </row>
    <row r="145" spans="1:11">
      <c r="A145" s="23">
        <v>52</v>
      </c>
      <c r="B145" s="24" t="s">
        <v>197</v>
      </c>
      <c r="C145" s="25" t="s">
        <v>198</v>
      </c>
      <c r="D145" s="8">
        <f>Component_Properties!F56</f>
        <v>1490</v>
      </c>
      <c r="E145" s="8">
        <f>Component_Properties!G56</f>
        <v>80</v>
      </c>
      <c r="F145" s="8">
        <f>Component_Properties!H56</f>
        <v>1700</v>
      </c>
      <c r="G145" s="7">
        <f>CHOOSE($B$88,Compositions_Master!H59,Compositions_Master!J59,Compositions_Master!L59,Compositions_Master!N59,Compositions_Master!P59,Compositions_Master!R59,Compositions_Master!T59,Compositions_Master!V59)</f>
        <v>0</v>
      </c>
      <c r="H145" s="7">
        <f>Compositions_Master!X59</f>
        <v>5.94</v>
      </c>
      <c r="I145" s="32">
        <f>IF(H145=0,"",G145/H145)</f>
        <v>0</v>
      </c>
      <c r="J145" s="21" t="str">
        <f>IF(OR(I145="",I145=0),"",LOG10(I145*$B$89))</f>
        <v/>
      </c>
      <c r="K145" s="21">
        <f>IF(OR(D145=0,F145=D145),"",(LOG10(E145/14.7)/(1/D145-1/F145))*(1/D145-1/$B$90))</f>
        <v>-6.4444601314669345</v>
      </c>
    </row>
    <row r="147" spans="1:11" ht="21.95" customHeight="1">
      <c r="A147" s="43" t="s">
        <v>304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</row>
    <row r="148" spans="1:11">
      <c r="A148" s="16" t="s">
        <v>276</v>
      </c>
      <c r="B148" s="16" t="s">
        <v>70</v>
      </c>
      <c r="C148" s="16" t="s">
        <v>305</v>
      </c>
      <c r="D148" s="16" t="s">
        <v>306</v>
      </c>
      <c r="E148" s="16" t="s">
        <v>307</v>
      </c>
      <c r="F148" s="16" t="s">
        <v>308</v>
      </c>
      <c r="G148" s="16" t="s">
        <v>309</v>
      </c>
      <c r="H148" s="16" t="s">
        <v>310</v>
      </c>
      <c r="I148" s="16" t="s">
        <v>311</v>
      </c>
    </row>
    <row r="149" spans="1:11">
      <c r="A149" s="23">
        <v>1</v>
      </c>
      <c r="B149" s="8">
        <f>Compositions_Master!H6</f>
        <v>0</v>
      </c>
      <c r="C149" s="21" t="str">
        <f>IF(B149=0,"",LOG10(B149))</f>
        <v/>
      </c>
      <c r="D149" s="32" t="str">
        <f>IF(Compositions_Master!F12=0,"",Compositions_Master!H12/Compositions_Master!F12)</f>
        <v/>
      </c>
      <c r="E149" s="32" t="str">
        <f>IF(Compositions_Master!F13=0,"",Compositions_Master!H13/Compositions_Master!F13)</f>
        <v/>
      </c>
      <c r="F149" s="32" t="str">
        <f>IF(Compositions_Master!F14=0,"",Compositions_Master!H14/Compositions_Master!F14)</f>
        <v/>
      </c>
      <c r="G149" s="32" t="str">
        <f>IF(Compositions_Master!F16=0,"",Compositions_Master!H16/Compositions_Master!F16)</f>
        <v/>
      </c>
      <c r="H149" s="32" t="str">
        <f>IF(Compositions_Master!F18=0,"",Compositions_Master!H18/Compositions_Master!F18)</f>
        <v/>
      </c>
      <c r="I149" s="32" t="str">
        <f>IF(Compositions_Master!F20=0,"",Compositions_Master!H20/Compositions_Master!F20)</f>
        <v/>
      </c>
    </row>
    <row r="150" spans="1:11">
      <c r="A150" s="23">
        <v>2</v>
      </c>
      <c r="B150" s="8">
        <f>Compositions_Master!J6</f>
        <v>0</v>
      </c>
      <c r="C150" s="21" t="str">
        <f>IF(B150=0,"",LOG10(B150))</f>
        <v/>
      </c>
      <c r="D150" s="32" t="str">
        <f>IF(Compositions_Master!F12=0,"",Compositions_Master!J12/Compositions_Master!F12)</f>
        <v/>
      </c>
      <c r="E150" s="32" t="str">
        <f>IF(Compositions_Master!F13=0,"",Compositions_Master!J13/Compositions_Master!F13)</f>
        <v/>
      </c>
      <c r="F150" s="32" t="str">
        <f>IF(Compositions_Master!F14=0,"",Compositions_Master!J14/Compositions_Master!F14)</f>
        <v/>
      </c>
      <c r="G150" s="32" t="str">
        <f>IF(Compositions_Master!F16=0,"",Compositions_Master!J16/Compositions_Master!F16)</f>
        <v/>
      </c>
      <c r="H150" s="32" t="str">
        <f>IF(Compositions_Master!F18=0,"",Compositions_Master!J18/Compositions_Master!F18)</f>
        <v/>
      </c>
      <c r="I150" s="32" t="str">
        <f>IF(Compositions_Master!F20=0,"",Compositions_Master!J20/Compositions_Master!F20)</f>
        <v/>
      </c>
    </row>
    <row r="151" spans="1:11">
      <c r="A151" s="23">
        <v>3</v>
      </c>
      <c r="B151" s="8">
        <f>Compositions_Master!L6</f>
        <v>0</v>
      </c>
      <c r="C151" s="21" t="str">
        <f>IF(B151=0,"",LOG10(B151))</f>
        <v/>
      </c>
      <c r="D151" s="32" t="str">
        <f>IF(Compositions_Master!F12=0,"",Compositions_Master!L12/Compositions_Master!F12)</f>
        <v/>
      </c>
      <c r="E151" s="32" t="str">
        <f>IF(Compositions_Master!F13=0,"",Compositions_Master!L13/Compositions_Master!F13)</f>
        <v/>
      </c>
      <c r="F151" s="32" t="str">
        <f>IF(Compositions_Master!F14=0,"",Compositions_Master!L14/Compositions_Master!F14)</f>
        <v/>
      </c>
      <c r="G151" s="32" t="str">
        <f>IF(Compositions_Master!F16=0,"",Compositions_Master!L16/Compositions_Master!F16)</f>
        <v/>
      </c>
      <c r="H151" s="32" t="str">
        <f>IF(Compositions_Master!F18=0,"",Compositions_Master!L18/Compositions_Master!F18)</f>
        <v/>
      </c>
      <c r="I151" s="32" t="str">
        <f>IF(Compositions_Master!F20=0,"",Compositions_Master!L20/Compositions_Master!F20)</f>
        <v/>
      </c>
    </row>
    <row r="152" spans="1:11">
      <c r="A152" s="23">
        <v>4</v>
      </c>
      <c r="B152" s="8">
        <f>Compositions_Master!N6</f>
        <v>0</v>
      </c>
      <c r="C152" s="21" t="str">
        <f>IF(B152=0,"",LOG10(B152))</f>
        <v/>
      </c>
      <c r="D152" s="32" t="str">
        <f>IF(Compositions_Master!F12=0,"",Compositions_Master!N12/Compositions_Master!F12)</f>
        <v/>
      </c>
      <c r="E152" s="32" t="str">
        <f>IF(Compositions_Master!F13=0,"",Compositions_Master!N13/Compositions_Master!F13)</f>
        <v/>
      </c>
      <c r="F152" s="32" t="str">
        <f>IF(Compositions_Master!F14=0,"",Compositions_Master!N14/Compositions_Master!F14)</f>
        <v/>
      </c>
      <c r="G152" s="32" t="str">
        <f>IF(Compositions_Master!F16=0,"",Compositions_Master!N16/Compositions_Master!F16)</f>
        <v/>
      </c>
      <c r="H152" s="32" t="str">
        <f>IF(Compositions_Master!F18=0,"",Compositions_Master!N18/Compositions_Master!F18)</f>
        <v/>
      </c>
      <c r="I152" s="32" t="str">
        <f>IF(Compositions_Master!F20=0,"",Compositions_Master!N20/Compositions_Master!F20)</f>
        <v/>
      </c>
    </row>
    <row r="153" spans="1:11">
      <c r="A153" s="23">
        <v>5</v>
      </c>
      <c r="B153" s="8">
        <f>Compositions_Master!P6</f>
        <v>0</v>
      </c>
      <c r="C153" s="21" t="str">
        <f>IF(B153=0,"",LOG10(B153))</f>
        <v/>
      </c>
      <c r="D153" s="32" t="str">
        <f>IF(Compositions_Master!F12=0,"",Compositions_Master!P12/Compositions_Master!F12)</f>
        <v/>
      </c>
      <c r="E153" s="32" t="str">
        <f>IF(Compositions_Master!F13=0,"",Compositions_Master!P13/Compositions_Master!F13)</f>
        <v/>
      </c>
      <c r="F153" s="32" t="str">
        <f>IF(Compositions_Master!F14=0,"",Compositions_Master!P14/Compositions_Master!F14)</f>
        <v/>
      </c>
      <c r="G153" s="32" t="str">
        <f>IF(Compositions_Master!F16=0,"",Compositions_Master!P16/Compositions_Master!F16)</f>
        <v/>
      </c>
      <c r="H153" s="32" t="str">
        <f>IF(Compositions_Master!F18=0,"",Compositions_Master!P18/Compositions_Master!F18)</f>
        <v/>
      </c>
      <c r="I153" s="32" t="str">
        <f>IF(Compositions_Master!F20=0,"",Compositions_Master!P20/Compositions_Master!F20)</f>
        <v/>
      </c>
    </row>
    <row r="154" spans="1:11">
      <c r="A154" s="23">
        <v>6</v>
      </c>
      <c r="B154" s="8">
        <f>Compositions_Master!R6</f>
        <v>0</v>
      </c>
      <c r="C154" s="21" t="str">
        <f>IF(B154=0,"",LOG10(B154))</f>
        <v/>
      </c>
      <c r="D154" s="32" t="str">
        <f>IF(Compositions_Master!F12=0,"",Compositions_Master!R12/Compositions_Master!F12)</f>
        <v/>
      </c>
      <c r="E154" s="32" t="str">
        <f>IF(Compositions_Master!F13=0,"",Compositions_Master!R13/Compositions_Master!F13)</f>
        <v/>
      </c>
      <c r="F154" s="32" t="str">
        <f>IF(Compositions_Master!F14=0,"",Compositions_Master!R14/Compositions_Master!F14)</f>
        <v/>
      </c>
      <c r="G154" s="32" t="str">
        <f>IF(Compositions_Master!F16=0,"",Compositions_Master!R16/Compositions_Master!F16)</f>
        <v/>
      </c>
      <c r="H154" s="32" t="str">
        <f>IF(Compositions_Master!F18=0,"",Compositions_Master!R18/Compositions_Master!F18)</f>
        <v/>
      </c>
      <c r="I154" s="32" t="str">
        <f>IF(Compositions_Master!F20=0,"",Compositions_Master!R20/Compositions_Master!F20)</f>
        <v/>
      </c>
    </row>
    <row r="155" spans="1:11">
      <c r="A155" s="23">
        <v>7</v>
      </c>
      <c r="B155" s="8">
        <f>Compositions_Master!T6</f>
        <v>0</v>
      </c>
      <c r="C155" s="21" t="str">
        <f>IF(B155=0,"",LOG10(B155))</f>
        <v/>
      </c>
      <c r="D155" s="32" t="str">
        <f>IF(Compositions_Master!F12=0,"",Compositions_Master!T12/Compositions_Master!F12)</f>
        <v/>
      </c>
      <c r="E155" s="32" t="str">
        <f>IF(Compositions_Master!F13=0,"",Compositions_Master!T13/Compositions_Master!F13)</f>
        <v/>
      </c>
      <c r="F155" s="32" t="str">
        <f>IF(Compositions_Master!F14=0,"",Compositions_Master!T14/Compositions_Master!F14)</f>
        <v/>
      </c>
      <c r="G155" s="32" t="str">
        <f>IF(Compositions_Master!F16=0,"",Compositions_Master!T16/Compositions_Master!F16)</f>
        <v/>
      </c>
      <c r="H155" s="32" t="str">
        <f>IF(Compositions_Master!F18=0,"",Compositions_Master!T18/Compositions_Master!F18)</f>
        <v/>
      </c>
      <c r="I155" s="32" t="str">
        <f>IF(Compositions_Master!F20=0,"",Compositions_Master!T20/Compositions_Master!F20)</f>
        <v/>
      </c>
    </row>
    <row r="156" spans="1:11">
      <c r="A156" s="23">
        <v>8</v>
      </c>
      <c r="B156" s="8">
        <f>Compositions_Master!V6</f>
        <v>0</v>
      </c>
      <c r="C156" s="21" t="str">
        <f>IF(B156=0,"",LOG10(B156))</f>
        <v/>
      </c>
      <c r="D156" s="32" t="str">
        <f>IF(Compositions_Master!F12=0,"",Compositions_Master!V12/Compositions_Master!F12)</f>
        <v/>
      </c>
      <c r="E156" s="32" t="str">
        <f>IF(Compositions_Master!F13=0,"",Compositions_Master!V13/Compositions_Master!F13)</f>
        <v/>
      </c>
      <c r="F156" s="32" t="str">
        <f>IF(Compositions_Master!F14=0,"",Compositions_Master!V14/Compositions_Master!F14)</f>
        <v/>
      </c>
      <c r="G156" s="32" t="str">
        <f>IF(Compositions_Master!F16=0,"",Compositions_Master!V16/Compositions_Master!F16)</f>
        <v/>
      </c>
      <c r="H156" s="32" t="str">
        <f>IF(Compositions_Master!F18=0,"",Compositions_Master!V18/Compositions_Master!F18)</f>
        <v/>
      </c>
      <c r="I156" s="32" t="str">
        <f>IF(Compositions_Master!F20=0,"",Compositions_Master!V20/Compositions_Master!F20)</f>
        <v/>
      </c>
    </row>
  </sheetData>
  <mergeCells count="9">
    <mergeCell ref="A2:K2"/>
    <mergeCell ref="A80:K80"/>
    <mergeCell ref="A1:K1"/>
    <mergeCell ref="A12:K12"/>
    <mergeCell ref="A4:K4"/>
    <mergeCell ref="A92:K92"/>
    <mergeCell ref="A147:K147"/>
    <mergeCell ref="A87:K87"/>
    <mergeCell ref="A24:K2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" customWidth="1"/>
    <col min="2" max="4" width="12" customWidth="1"/>
    <col min="5" max="5" width="14" customWidth="1"/>
    <col min="6" max="7" width="10" customWidth="1"/>
  </cols>
  <sheetData>
    <row r="1" spans="1:7" ht="26.1" customHeight="1">
      <c r="A1" s="44" t="s">
        <v>312</v>
      </c>
      <c r="B1" s="57"/>
      <c r="C1" s="57"/>
      <c r="D1" s="57"/>
      <c r="E1" s="57"/>
      <c r="F1" s="57"/>
      <c r="G1" s="57"/>
    </row>
    <row r="2" spans="1:7" ht="15" customHeight="1">
      <c r="A2" s="42" t="s">
        <v>313</v>
      </c>
      <c r="B2" s="57"/>
      <c r="C2" s="57"/>
      <c r="D2" s="57"/>
      <c r="E2" s="57"/>
      <c r="F2" s="57"/>
      <c r="G2" s="57"/>
    </row>
    <row r="4" spans="1:7" ht="21.95" customHeight="1">
      <c r="A4" s="43" t="s">
        <v>314</v>
      </c>
      <c r="B4" s="57"/>
      <c r="C4" s="57"/>
      <c r="D4" s="57"/>
      <c r="E4" s="57"/>
      <c r="F4" s="57"/>
      <c r="G4" s="57"/>
    </row>
    <row r="5" spans="1:7">
      <c r="A5" s="16" t="s">
        <v>276</v>
      </c>
      <c r="B5" s="16" t="s">
        <v>70</v>
      </c>
      <c r="C5" s="16" t="s">
        <v>237</v>
      </c>
      <c r="D5" s="16" t="s">
        <v>315</v>
      </c>
      <c r="E5" s="16" t="s">
        <v>316</v>
      </c>
      <c r="F5" s="16" t="s">
        <v>245</v>
      </c>
      <c r="G5" s="16" t="s">
        <v>317</v>
      </c>
    </row>
    <row r="6" spans="1:7">
      <c r="A6" s="31">
        <f>DV_Calc!A15</f>
        <v>1</v>
      </c>
      <c r="B6" s="8">
        <f>DV_Calc!B15</f>
        <v>1156</v>
      </c>
      <c r="C6" s="7">
        <f>DV_Calc!E15</f>
        <v>1.3308823529411764</v>
      </c>
      <c r="D6" s="10">
        <f>DV_Calc!J15</f>
        <v>521</v>
      </c>
      <c r="E6" s="7">
        <f>DV_Calc!R15</f>
        <v>0.68559999999999999</v>
      </c>
      <c r="F6" s="7">
        <f>DV_Calc!M15</f>
        <v>1</v>
      </c>
      <c r="G6" s="7">
        <f>DV_Calc!L15</f>
        <v>0</v>
      </c>
    </row>
    <row r="7" spans="1:7">
      <c r="A7" s="31">
        <f>DV_Calc!A16</f>
        <v>2</v>
      </c>
      <c r="B7" s="8">
        <f>DV_Calc!B16</f>
        <v>0</v>
      </c>
      <c r="C7" s="7">
        <f>DV_Calc!E16</f>
        <v>0</v>
      </c>
      <c r="D7" s="10">
        <f>DV_Calc!J16</f>
        <v>521</v>
      </c>
      <c r="E7" s="7">
        <f>DV_Calc!R16</f>
        <v>0</v>
      </c>
      <c r="F7" s="7">
        <f>DV_Calc!M16</f>
        <v>1</v>
      </c>
      <c r="G7" s="7">
        <f>DV_Calc!L16</f>
        <v>0.88476530175390133</v>
      </c>
    </row>
    <row r="8" spans="1:7">
      <c r="A8" s="31">
        <f>DV_Calc!A17</f>
        <v>3</v>
      </c>
      <c r="B8" s="8">
        <f>DV_Calc!B17</f>
        <v>0</v>
      </c>
      <c r="C8" s="7">
        <f>DV_Calc!E17</f>
        <v>0</v>
      </c>
      <c r="D8" s="10">
        <f>DV_Calc!J17</f>
        <v>521</v>
      </c>
      <c r="E8" s="7">
        <f>DV_Calc!R17</f>
        <v>0</v>
      </c>
      <c r="F8" s="7">
        <f>DV_Calc!M17</f>
        <v>1</v>
      </c>
      <c r="G8" s="7">
        <f>DV_Calc!L17</f>
        <v>0.92152059004281195</v>
      </c>
    </row>
    <row r="9" spans="1:7">
      <c r="A9" s="31">
        <f>DV_Calc!A18</f>
        <v>4</v>
      </c>
      <c r="B9" s="8">
        <f>DV_Calc!B18</f>
        <v>0</v>
      </c>
      <c r="C9" s="7">
        <f>DV_Calc!E18</f>
        <v>0</v>
      </c>
      <c r="D9" s="10">
        <f>DV_Calc!J18</f>
        <v>521</v>
      </c>
      <c r="E9" s="7">
        <f>DV_Calc!R18</f>
        <v>0</v>
      </c>
      <c r="F9" s="7">
        <f>DV_Calc!M18</f>
        <v>1</v>
      </c>
      <c r="G9" s="7">
        <f>DV_Calc!L18</f>
        <v>0.9752769796989369</v>
      </c>
    </row>
    <row r="10" spans="1:7">
      <c r="A10" s="31">
        <f>DV_Calc!A19</f>
        <v>5</v>
      </c>
      <c r="B10" s="8">
        <f>DV_Calc!B19</f>
        <v>0</v>
      </c>
      <c r="C10" s="7">
        <f>DV_Calc!E19</f>
        <v>0</v>
      </c>
      <c r="D10" s="10">
        <f>DV_Calc!J19</f>
        <v>521</v>
      </c>
      <c r="E10" s="7">
        <f>DV_Calc!R19</f>
        <v>0</v>
      </c>
      <c r="F10" s="7">
        <f>DV_Calc!M19</f>
        <v>1</v>
      </c>
      <c r="G10" s="7">
        <f>DV_Calc!L19</f>
        <v>1.0843267518298578</v>
      </c>
    </row>
    <row r="11" spans="1:7">
      <c r="A11" s="31">
        <f>DV_Calc!A20</f>
        <v>6</v>
      </c>
      <c r="B11" s="8">
        <f>DV_Calc!B20</f>
        <v>0</v>
      </c>
      <c r="C11" s="7">
        <f>DV_Calc!E20</f>
        <v>0</v>
      </c>
      <c r="D11" s="10">
        <f>DV_Calc!J20</f>
        <v>521</v>
      </c>
      <c r="E11" s="7">
        <f>DV_Calc!R20</f>
        <v>0</v>
      </c>
      <c r="F11" s="7">
        <f>DV_Calc!M20</f>
        <v>1</v>
      </c>
      <c r="G11" s="7">
        <f>DV_Calc!L20</f>
        <v>1.3658778431846432</v>
      </c>
    </row>
    <row r="12" spans="1:7">
      <c r="A12" s="31">
        <f>DV_Calc!A21</f>
        <v>7</v>
      </c>
      <c r="B12" s="8">
        <f>DV_Calc!B21</f>
        <v>0</v>
      </c>
      <c r="C12" s="7">
        <f>DV_Calc!E21</f>
        <v>0</v>
      </c>
      <c r="D12" s="10">
        <f>DV_Calc!J21</f>
        <v>521</v>
      </c>
      <c r="E12" s="7">
        <f>DV_Calc!R21</f>
        <v>0</v>
      </c>
      <c r="F12" s="7">
        <f>DV_Calc!M21</f>
        <v>1</v>
      </c>
      <c r="G12" s="7">
        <f>DV_Calc!L21</f>
        <v>2.3076993541637902</v>
      </c>
    </row>
    <row r="13" spans="1:7">
      <c r="A13" s="31">
        <f>DV_Calc!A22</f>
        <v>8</v>
      </c>
      <c r="B13" s="8">
        <f>DV_Calc!B22</f>
        <v>0</v>
      </c>
      <c r="C13" s="7">
        <f>DV_Calc!E22</f>
        <v>0</v>
      </c>
      <c r="D13" s="10">
        <f>DV_Calc!J22</f>
        <v>521</v>
      </c>
      <c r="E13" s="7">
        <f>DV_Calc!R22</f>
        <v>0</v>
      </c>
      <c r="F13" s="7">
        <f>DV_Calc!M22</f>
        <v>1</v>
      </c>
      <c r="G13" s="7">
        <f>DV_Calc!L22</f>
        <v>0</v>
      </c>
    </row>
    <row r="14" spans="1:7">
      <c r="A14" s="31">
        <f>DV_Calc!A23</f>
        <v>9</v>
      </c>
      <c r="B14" s="8">
        <f>DV_Calc!B23</f>
        <v>0</v>
      </c>
      <c r="C14" s="7">
        <f>DV_Calc!E23</f>
        <v>0</v>
      </c>
      <c r="D14" s="10">
        <f>DV_Calc!J23</f>
        <v>521</v>
      </c>
      <c r="E14" s="7">
        <f>DV_Calc!R23</f>
        <v>0</v>
      </c>
      <c r="F14" s="7">
        <f>DV_Calc!M23</f>
        <v>1</v>
      </c>
      <c r="G14" s="7">
        <f>DV_Calc!L23</f>
        <v>0</v>
      </c>
    </row>
    <row r="15" spans="1:7">
      <c r="A15" s="31">
        <f>DV_Calc!A24</f>
        <v>10</v>
      </c>
      <c r="B15" s="8">
        <f>DV_Calc!B24</f>
        <v>0</v>
      </c>
      <c r="C15" s="7">
        <f>DV_Calc!E24</f>
        <v>0</v>
      </c>
      <c r="D15" s="10">
        <f>DV_Calc!J24</f>
        <v>521</v>
      </c>
      <c r="E15" s="7">
        <f>DV_Calc!R24</f>
        <v>0</v>
      </c>
      <c r="F15" s="7">
        <f>DV_Calc!M24</f>
        <v>1</v>
      </c>
      <c r="G15" s="7">
        <f>DV_Calc!L24</f>
        <v>0</v>
      </c>
    </row>
    <row r="16" spans="1:7">
      <c r="A16" s="31">
        <f>DV_Calc!A25</f>
        <v>11</v>
      </c>
      <c r="B16" s="8">
        <f>DV_Calc!B25</f>
        <v>0</v>
      </c>
      <c r="C16" s="7">
        <f>DV_Calc!E25</f>
        <v>0</v>
      </c>
      <c r="D16" s="10">
        <f>DV_Calc!J25</f>
        <v>521</v>
      </c>
      <c r="E16" s="7">
        <f>DV_Calc!R25</f>
        <v>0</v>
      </c>
      <c r="F16" s="7">
        <f>DV_Calc!M25</f>
        <v>1</v>
      </c>
      <c r="G16" s="7">
        <f>DV_Calc!L25</f>
        <v>0</v>
      </c>
    </row>
    <row r="17" spans="1:7">
      <c r="A17" s="31">
        <f>DV_Calc!A26</f>
        <v>12</v>
      </c>
      <c r="B17" s="8">
        <f>DV_Calc!B26</f>
        <v>0</v>
      </c>
      <c r="C17" s="7">
        <f>DV_Calc!E26</f>
        <v>0</v>
      </c>
      <c r="D17" s="10">
        <f>DV_Calc!J26</f>
        <v>521</v>
      </c>
      <c r="E17" s="7">
        <f>DV_Calc!R26</f>
        <v>0</v>
      </c>
      <c r="F17" s="7">
        <f>DV_Calc!M26</f>
        <v>1</v>
      </c>
      <c r="G17" s="7">
        <f>DV_Calc!L26</f>
        <v>0</v>
      </c>
    </row>
    <row r="18" spans="1:7">
      <c r="A18" s="31">
        <f>DV_Calc!A27</f>
        <v>13</v>
      </c>
      <c r="B18" s="8">
        <f>DV_Calc!B27</f>
        <v>0</v>
      </c>
      <c r="C18" s="7">
        <f>DV_Calc!E27</f>
        <v>0</v>
      </c>
      <c r="D18" s="10">
        <f>DV_Calc!J27</f>
        <v>521</v>
      </c>
      <c r="E18" s="7">
        <f>DV_Calc!R27</f>
        <v>0</v>
      </c>
      <c r="F18" s="7">
        <f>DV_Calc!M27</f>
        <v>1</v>
      </c>
      <c r="G18" s="7">
        <f>DV_Calc!L27</f>
        <v>0</v>
      </c>
    </row>
    <row r="19" spans="1:7">
      <c r="A19" s="31">
        <f>DV_Calc!A28</f>
        <v>14</v>
      </c>
      <c r="B19" s="8">
        <f>DV_Calc!B28</f>
        <v>0</v>
      </c>
      <c r="C19" s="7">
        <f>DV_Calc!E28</f>
        <v>0</v>
      </c>
      <c r="D19" s="10">
        <f>DV_Calc!J28</f>
        <v>521</v>
      </c>
      <c r="E19" s="7">
        <f>DV_Calc!R28</f>
        <v>0</v>
      </c>
      <c r="F19" s="7">
        <f>DV_Calc!M28</f>
        <v>1</v>
      </c>
      <c r="G19" s="7">
        <f>DV_Calc!L28</f>
        <v>0</v>
      </c>
    </row>
    <row r="20" spans="1:7">
      <c r="A20" s="31">
        <f>DV_Calc!A29</f>
        <v>15</v>
      </c>
      <c r="B20" s="8">
        <f>DV_Calc!B29</f>
        <v>0</v>
      </c>
      <c r="C20" s="7">
        <f>DV_Calc!E29</f>
        <v>0</v>
      </c>
      <c r="D20" s="10">
        <f>DV_Calc!J29</f>
        <v>521</v>
      </c>
      <c r="E20" s="7">
        <f>DV_Calc!R29</f>
        <v>0</v>
      </c>
      <c r="F20" s="7">
        <f>DV_Calc!M29</f>
        <v>1</v>
      </c>
      <c r="G20" s="7">
        <f>DV_Calc!L29</f>
        <v>0</v>
      </c>
    </row>
    <row r="21" spans="1:7">
      <c r="A21" s="31">
        <f>DV_Calc!A30</f>
        <v>16</v>
      </c>
      <c r="B21" s="8">
        <f>DV_Calc!B30</f>
        <v>0</v>
      </c>
      <c r="C21" s="7">
        <f>DV_Calc!E30</f>
        <v>0</v>
      </c>
      <c r="D21" s="10">
        <f>DV_Calc!J30</f>
        <v>521</v>
      </c>
      <c r="E21" s="7">
        <f>DV_Calc!R30</f>
        <v>0</v>
      </c>
      <c r="F21" s="7">
        <f>DV_Calc!M30</f>
        <v>1</v>
      </c>
      <c r="G21" s="7">
        <f>DV_Calc!L30</f>
        <v>0</v>
      </c>
    </row>
    <row r="22" spans="1:7">
      <c r="A22" s="31">
        <f>DV_Calc!A31</f>
        <v>17</v>
      </c>
      <c r="B22" s="8">
        <f>DV_Calc!B31</f>
        <v>0</v>
      </c>
      <c r="C22" s="7">
        <f>DV_Calc!E31</f>
        <v>0</v>
      </c>
      <c r="D22" s="10">
        <f>DV_Calc!J31</f>
        <v>521</v>
      </c>
      <c r="E22" s="7">
        <f>DV_Calc!R31</f>
        <v>0</v>
      </c>
      <c r="F22" s="7">
        <f>DV_Calc!M31</f>
        <v>1</v>
      </c>
      <c r="G22" s="7">
        <f>DV_Calc!L31</f>
        <v>0</v>
      </c>
    </row>
    <row r="23" spans="1:7">
      <c r="A23" s="31">
        <f>DV_Calc!A32</f>
        <v>18</v>
      </c>
      <c r="B23" s="8">
        <f>DV_Calc!B32</f>
        <v>0</v>
      </c>
      <c r="C23" s="7">
        <f>DV_Calc!E32</f>
        <v>0</v>
      </c>
      <c r="D23" s="10">
        <f>DV_Calc!J32</f>
        <v>521</v>
      </c>
      <c r="E23" s="7">
        <f>DV_Calc!R32</f>
        <v>0</v>
      </c>
      <c r="F23" s="7">
        <f>DV_Calc!M32</f>
        <v>1</v>
      </c>
      <c r="G23" s="7">
        <f>DV_Calc!L32</f>
        <v>0</v>
      </c>
    </row>
    <row r="24" spans="1:7">
      <c r="A24" s="31">
        <f>DV_Calc!A33</f>
        <v>19</v>
      </c>
      <c r="B24" s="8">
        <f>DV_Calc!B33</f>
        <v>0</v>
      </c>
      <c r="C24" s="7">
        <f>DV_Calc!E33</f>
        <v>0</v>
      </c>
      <c r="D24" s="10">
        <f>DV_Calc!J33</f>
        <v>521</v>
      </c>
      <c r="E24" s="7">
        <f>DV_Calc!R33</f>
        <v>0</v>
      </c>
      <c r="F24" s="7">
        <f>DV_Calc!M33</f>
        <v>1</v>
      </c>
      <c r="G24" s="7">
        <f>DV_Calc!L33</f>
        <v>0</v>
      </c>
    </row>
    <row r="25" spans="1:7">
      <c r="A25" s="31">
        <f>DV_Calc!A34</f>
        <v>20</v>
      </c>
      <c r="B25" s="8">
        <f>DV_Calc!B34</f>
        <v>0</v>
      </c>
      <c r="C25" s="7">
        <f>DV_Calc!E34</f>
        <v>0</v>
      </c>
      <c r="D25" s="10">
        <f>DV_Calc!J34</f>
        <v>521</v>
      </c>
      <c r="E25" s="7">
        <f>DV_Calc!R34</f>
        <v>0</v>
      </c>
      <c r="F25" s="7">
        <f>DV_Calc!M34</f>
        <v>1</v>
      </c>
      <c r="G25" s="7">
        <f>DV_Calc!L34</f>
        <v>0</v>
      </c>
    </row>
    <row r="26" spans="1:7">
      <c r="A26" s="31">
        <f>DV_Calc!A35</f>
        <v>21</v>
      </c>
      <c r="B26" s="8">
        <f>DV_Calc!B35</f>
        <v>0</v>
      </c>
      <c r="C26" s="7">
        <f>DV_Calc!E35</f>
        <v>0</v>
      </c>
      <c r="D26" s="10">
        <f>DV_Calc!J35</f>
        <v>521</v>
      </c>
      <c r="E26" s="7">
        <f>DV_Calc!R35</f>
        <v>0</v>
      </c>
      <c r="F26" s="7">
        <f>DV_Calc!M35</f>
        <v>1</v>
      </c>
      <c r="G26" s="7">
        <f>DV_Calc!L35</f>
        <v>0</v>
      </c>
    </row>
    <row r="27" spans="1:7">
      <c r="A27" s="31">
        <f>DV_Calc!A36</f>
        <v>22</v>
      </c>
      <c r="B27" s="8">
        <f>DV_Calc!B36</f>
        <v>0</v>
      </c>
      <c r="C27" s="7">
        <f>DV_Calc!E36</f>
        <v>0</v>
      </c>
      <c r="D27" s="10">
        <f>DV_Calc!J36</f>
        <v>521</v>
      </c>
      <c r="E27" s="7">
        <f>DV_Calc!R36</f>
        <v>0</v>
      </c>
      <c r="F27" s="7">
        <f>DV_Calc!M36</f>
        <v>1</v>
      </c>
      <c r="G27" s="7">
        <f>DV_Calc!L36</f>
        <v>0</v>
      </c>
    </row>
    <row r="28" spans="1:7">
      <c r="A28" s="31">
        <f>DV_Calc!A37</f>
        <v>23</v>
      </c>
      <c r="B28" s="8">
        <f>DV_Calc!B37</f>
        <v>0</v>
      </c>
      <c r="C28" s="7">
        <f>DV_Calc!E37</f>
        <v>0</v>
      </c>
      <c r="D28" s="10">
        <f>DV_Calc!J37</f>
        <v>521</v>
      </c>
      <c r="E28" s="7">
        <f>DV_Calc!R37</f>
        <v>0</v>
      </c>
      <c r="F28" s="7">
        <f>DV_Calc!M37</f>
        <v>1</v>
      </c>
      <c r="G28" s="7">
        <f>DV_Calc!L37</f>
        <v>0</v>
      </c>
    </row>
    <row r="29" spans="1:7">
      <c r="A29" s="31">
        <f>DV_Calc!A38</f>
        <v>24</v>
      </c>
      <c r="B29" s="8">
        <f>DV_Calc!B38</f>
        <v>0</v>
      </c>
      <c r="C29" s="7">
        <f>DV_Calc!E38</f>
        <v>0</v>
      </c>
      <c r="D29" s="10">
        <f>DV_Calc!J38</f>
        <v>521</v>
      </c>
      <c r="E29" s="7">
        <f>DV_Calc!R38</f>
        <v>0</v>
      </c>
      <c r="F29" s="7">
        <f>DV_Calc!M38</f>
        <v>1</v>
      </c>
      <c r="G29" s="7">
        <f>DV_Calc!L38</f>
        <v>0</v>
      </c>
    </row>
    <row r="30" spans="1:7">
      <c r="A30" s="31">
        <f>DV_Calc!A39</f>
        <v>25</v>
      </c>
      <c r="B30" s="8">
        <f>DV_Calc!B39</f>
        <v>0</v>
      </c>
      <c r="C30" s="7">
        <f>DV_Calc!E39</f>
        <v>0</v>
      </c>
      <c r="D30" s="10">
        <f>DV_Calc!J39</f>
        <v>521</v>
      </c>
      <c r="E30" s="7">
        <f>DV_Calc!R39</f>
        <v>0</v>
      </c>
      <c r="F30" s="7">
        <f>DV_Calc!M39</f>
        <v>1</v>
      </c>
      <c r="G30" s="7">
        <f>DV_Calc!L39</f>
        <v>0</v>
      </c>
    </row>
    <row r="31" spans="1:7">
      <c r="A31" s="31">
        <f>DV_Calc!A40</f>
        <v>26</v>
      </c>
      <c r="B31" s="8">
        <f>DV_Calc!B40</f>
        <v>0</v>
      </c>
      <c r="C31" s="7">
        <f>DV_Calc!E40</f>
        <v>0</v>
      </c>
      <c r="D31" s="10">
        <f>DV_Calc!J40</f>
        <v>521</v>
      </c>
      <c r="E31" s="7">
        <f>DV_Calc!R40</f>
        <v>0</v>
      </c>
      <c r="F31" s="7">
        <f>DV_Calc!M40</f>
        <v>1</v>
      </c>
      <c r="G31" s="7">
        <f>DV_Calc!L40</f>
        <v>0</v>
      </c>
    </row>
  </sheetData>
  <mergeCells count="3">
    <mergeCell ref="A2:G2"/>
    <mergeCell ref="A1:G1"/>
    <mergeCell ref="A4:G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14" customWidth="1"/>
    <col min="3" max="3" width="20" customWidth="1"/>
    <col min="4" max="13" width="13" customWidth="1"/>
  </cols>
  <sheetData>
    <row r="1" spans="1:13" ht="26.1" customHeight="1">
      <c r="A1" s="44" t="s">
        <v>318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5" customHeight="1">
      <c r="A2" s="42" t="s">
        <v>319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4" spans="1:13" ht="21.95" customHeight="1">
      <c r="A4" s="43" t="s">
        <v>320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>
      <c r="A5" s="1" t="s">
        <v>3</v>
      </c>
      <c r="B5" s="38" t="str">
        <f>Sample_Info!B5</f>
        <v>ADNOC Onshore</v>
      </c>
      <c r="D5" s="1" t="s">
        <v>11</v>
      </c>
      <c r="E5" s="38" t="str">
        <f>Sample_Info!B7</f>
        <v>SA-372</v>
      </c>
      <c r="G5" s="1" t="s">
        <v>321</v>
      </c>
      <c r="H5" s="6">
        <f>Sample_Info!B8</f>
        <v>9105</v>
      </c>
    </row>
    <row r="6" spans="1:13">
      <c r="A6" s="1" t="s">
        <v>322</v>
      </c>
      <c r="B6" s="38" t="str">
        <f>Sample_Info!E5</f>
        <v>Upper Zakum</v>
      </c>
      <c r="D6" s="1" t="s">
        <v>323</v>
      </c>
      <c r="E6" s="38" t="str">
        <f>Sample_Info!E7</f>
        <v>RF1168636</v>
      </c>
      <c r="G6" s="1" t="s">
        <v>324</v>
      </c>
      <c r="H6" s="6">
        <f>Sample_Info!E12</f>
        <v>256</v>
      </c>
    </row>
    <row r="7" spans="1:13">
      <c r="A7" s="1" t="s">
        <v>9</v>
      </c>
      <c r="B7" s="38" t="str">
        <f>Sample_Info!E6</f>
        <v>Kharaib-2</v>
      </c>
      <c r="D7" s="1" t="s">
        <v>18</v>
      </c>
      <c r="E7" s="38">
        <f>Sample_Info!B10</f>
        <v>0</v>
      </c>
      <c r="G7" s="1" t="s">
        <v>325</v>
      </c>
      <c r="H7" s="6">
        <f>Sample_Info!B13</f>
        <v>1156</v>
      </c>
    </row>
    <row r="9" spans="1:13" ht="21.95" customHeight="1">
      <c r="A9" s="43" t="s">
        <v>326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</row>
    <row r="10" spans="1:13" ht="42" customHeight="1">
      <c r="B10" s="16" t="s">
        <v>327</v>
      </c>
      <c r="C10" s="16" t="s">
        <v>328</v>
      </c>
      <c r="D10" s="16" t="s">
        <v>329</v>
      </c>
      <c r="E10" s="16" t="s">
        <v>330</v>
      </c>
      <c r="F10" s="16" t="s">
        <v>331</v>
      </c>
      <c r="G10" s="16" t="s">
        <v>332</v>
      </c>
      <c r="H10" s="16" t="s">
        <v>333</v>
      </c>
      <c r="I10" s="16" t="s">
        <v>334</v>
      </c>
    </row>
    <row r="11" spans="1:13">
      <c r="A11" s="17">
        <v>1</v>
      </c>
      <c r="B11" s="8">
        <f>DV_Calc!B15</f>
        <v>1156</v>
      </c>
      <c r="C11" s="7">
        <f>DV_Calc!R15</f>
        <v>0.68559999999999999</v>
      </c>
      <c r="D11" s="10">
        <f>DV_Calc!J15</f>
        <v>521</v>
      </c>
      <c r="E11" s="7">
        <f>DV_Calc!E15</f>
        <v>1.3308823529411764</v>
      </c>
      <c r="F11" s="7">
        <f>DV_Calc!O15</f>
        <v>1.3308823529411764</v>
      </c>
      <c r="G11" s="7">
        <f>DV_Calc!M15</f>
        <v>1</v>
      </c>
      <c r="H11" s="39">
        <f>DV_Calc!N15</f>
        <v>1.7548099129717873E-2</v>
      </c>
      <c r="I11" s="7">
        <f>DV_Calc!L15</f>
        <v>0</v>
      </c>
    </row>
    <row r="12" spans="1:13">
      <c r="A12" s="17">
        <v>2</v>
      </c>
      <c r="B12" s="8">
        <f>DV_Calc!B16</f>
        <v>0</v>
      </c>
      <c r="C12" s="7">
        <f>DV_Calc!R16</f>
        <v>0</v>
      </c>
      <c r="D12" s="10">
        <f>DV_Calc!J16</f>
        <v>521</v>
      </c>
      <c r="E12" s="7">
        <f>DV_Calc!E16</f>
        <v>0</v>
      </c>
      <c r="F12" s="7">
        <f>DV_Calc!O16</f>
        <v>0</v>
      </c>
      <c r="G12" s="7">
        <f>DV_Calc!M16</f>
        <v>1</v>
      </c>
      <c r="H12" s="39">
        <f>DV_Calc!N16</f>
        <v>0</v>
      </c>
      <c r="I12" s="7">
        <f>DV_Calc!L16</f>
        <v>0.88476530175390133</v>
      </c>
    </row>
    <row r="13" spans="1:13">
      <c r="A13" s="17">
        <v>3</v>
      </c>
      <c r="B13" s="8">
        <f>DV_Calc!B17</f>
        <v>0</v>
      </c>
      <c r="C13" s="7">
        <f>DV_Calc!R17</f>
        <v>0</v>
      </c>
      <c r="D13" s="10">
        <f>DV_Calc!J17</f>
        <v>521</v>
      </c>
      <c r="E13" s="7">
        <f>DV_Calc!E17</f>
        <v>0</v>
      </c>
      <c r="F13" s="7">
        <f>DV_Calc!O17</f>
        <v>0</v>
      </c>
      <c r="G13" s="7">
        <f>DV_Calc!M17</f>
        <v>1</v>
      </c>
      <c r="H13" s="39">
        <f>DV_Calc!N17</f>
        <v>0</v>
      </c>
      <c r="I13" s="7">
        <f>DV_Calc!L17</f>
        <v>0.92152059004281195</v>
      </c>
    </row>
    <row r="14" spans="1:13">
      <c r="A14" s="17">
        <v>4</v>
      </c>
      <c r="B14" s="8">
        <f>DV_Calc!B18</f>
        <v>0</v>
      </c>
      <c r="C14" s="7">
        <f>DV_Calc!R18</f>
        <v>0</v>
      </c>
      <c r="D14" s="10">
        <f>DV_Calc!J18</f>
        <v>521</v>
      </c>
      <c r="E14" s="7">
        <f>DV_Calc!E18</f>
        <v>0</v>
      </c>
      <c r="F14" s="7">
        <f>DV_Calc!O18</f>
        <v>0</v>
      </c>
      <c r="G14" s="7">
        <f>DV_Calc!M18</f>
        <v>1</v>
      </c>
      <c r="H14" s="39">
        <f>DV_Calc!N18</f>
        <v>0</v>
      </c>
      <c r="I14" s="7">
        <f>DV_Calc!L18</f>
        <v>0.9752769796989369</v>
      </c>
    </row>
    <row r="15" spans="1:13">
      <c r="A15" s="17">
        <v>5</v>
      </c>
      <c r="B15" s="8">
        <f>DV_Calc!B19</f>
        <v>0</v>
      </c>
      <c r="C15" s="7">
        <f>DV_Calc!R19</f>
        <v>0</v>
      </c>
      <c r="D15" s="10">
        <f>DV_Calc!J19</f>
        <v>521</v>
      </c>
      <c r="E15" s="7">
        <f>DV_Calc!E19</f>
        <v>0</v>
      </c>
      <c r="F15" s="7">
        <f>DV_Calc!O19</f>
        <v>0</v>
      </c>
      <c r="G15" s="7">
        <f>DV_Calc!M19</f>
        <v>1</v>
      </c>
      <c r="H15" s="39">
        <f>DV_Calc!N19</f>
        <v>0</v>
      </c>
      <c r="I15" s="7">
        <f>DV_Calc!L19</f>
        <v>1.0843267518298578</v>
      </c>
    </row>
    <row r="16" spans="1:13">
      <c r="A16" s="17">
        <v>6</v>
      </c>
      <c r="B16" s="8">
        <f>DV_Calc!B20</f>
        <v>0</v>
      </c>
      <c r="C16" s="7">
        <f>DV_Calc!R20</f>
        <v>0</v>
      </c>
      <c r="D16" s="10">
        <f>DV_Calc!J20</f>
        <v>521</v>
      </c>
      <c r="E16" s="7">
        <f>DV_Calc!E20</f>
        <v>0</v>
      </c>
      <c r="F16" s="7">
        <f>DV_Calc!O20</f>
        <v>0</v>
      </c>
      <c r="G16" s="7">
        <f>DV_Calc!M20</f>
        <v>1</v>
      </c>
      <c r="H16" s="39">
        <f>DV_Calc!N20</f>
        <v>0</v>
      </c>
      <c r="I16" s="7">
        <f>DV_Calc!L20</f>
        <v>1.3658778431846432</v>
      </c>
    </row>
    <row r="17" spans="1:9">
      <c r="A17" s="17">
        <v>7</v>
      </c>
      <c r="B17" s="8">
        <f>DV_Calc!B21</f>
        <v>0</v>
      </c>
      <c r="C17" s="7">
        <f>DV_Calc!R21</f>
        <v>0</v>
      </c>
      <c r="D17" s="10">
        <f>DV_Calc!J21</f>
        <v>521</v>
      </c>
      <c r="E17" s="7">
        <f>DV_Calc!E21</f>
        <v>0</v>
      </c>
      <c r="F17" s="7">
        <f>DV_Calc!O21</f>
        <v>0</v>
      </c>
      <c r="G17" s="7">
        <f>DV_Calc!M21</f>
        <v>1</v>
      </c>
      <c r="H17" s="39">
        <f>DV_Calc!N21</f>
        <v>0</v>
      </c>
      <c r="I17" s="7">
        <f>DV_Calc!L21</f>
        <v>2.3076993541637902</v>
      </c>
    </row>
    <row r="18" spans="1:9">
      <c r="A18" s="17">
        <v>8</v>
      </c>
      <c r="B18" s="8">
        <f>DV_Calc!B22</f>
        <v>0</v>
      </c>
      <c r="C18" s="7">
        <f>DV_Calc!R22</f>
        <v>0</v>
      </c>
      <c r="D18" s="10">
        <f>DV_Calc!J22</f>
        <v>521</v>
      </c>
      <c r="E18" s="7">
        <f>DV_Calc!E22</f>
        <v>0</v>
      </c>
      <c r="F18" s="7">
        <f>DV_Calc!O22</f>
        <v>0</v>
      </c>
      <c r="G18" s="7">
        <f>DV_Calc!M22</f>
        <v>1</v>
      </c>
      <c r="H18" s="39">
        <f>DV_Calc!N22</f>
        <v>0</v>
      </c>
      <c r="I18" s="7">
        <f>DV_Calc!L22</f>
        <v>0</v>
      </c>
    </row>
    <row r="19" spans="1:9">
      <c r="A19" s="17">
        <v>9</v>
      </c>
      <c r="B19" s="8">
        <f>DV_Calc!B23</f>
        <v>0</v>
      </c>
      <c r="C19" s="7">
        <f>DV_Calc!R23</f>
        <v>0</v>
      </c>
      <c r="D19" s="10">
        <f>DV_Calc!J23</f>
        <v>521</v>
      </c>
      <c r="E19" s="7">
        <f>DV_Calc!E23</f>
        <v>0</v>
      </c>
      <c r="F19" s="7">
        <f>DV_Calc!O23</f>
        <v>0</v>
      </c>
      <c r="G19" s="7">
        <f>DV_Calc!M23</f>
        <v>1</v>
      </c>
      <c r="H19" s="39">
        <f>DV_Calc!N23</f>
        <v>0</v>
      </c>
      <c r="I19" s="7">
        <f>DV_Calc!L23</f>
        <v>0</v>
      </c>
    </row>
    <row r="20" spans="1:9">
      <c r="A20" s="17">
        <v>10</v>
      </c>
      <c r="B20" s="8">
        <f>DV_Calc!B24</f>
        <v>0</v>
      </c>
      <c r="C20" s="7">
        <f>DV_Calc!R24</f>
        <v>0</v>
      </c>
      <c r="D20" s="10">
        <f>DV_Calc!J24</f>
        <v>521</v>
      </c>
      <c r="E20" s="7">
        <f>DV_Calc!E24</f>
        <v>0</v>
      </c>
      <c r="F20" s="7">
        <f>DV_Calc!O24</f>
        <v>0</v>
      </c>
      <c r="G20" s="7">
        <f>DV_Calc!M24</f>
        <v>1</v>
      </c>
      <c r="H20" s="39">
        <f>DV_Calc!N24</f>
        <v>0</v>
      </c>
      <c r="I20" s="7">
        <f>DV_Calc!L24</f>
        <v>0</v>
      </c>
    </row>
    <row r="21" spans="1:9">
      <c r="A21" s="17">
        <v>11</v>
      </c>
      <c r="B21" s="8">
        <f>DV_Calc!B25</f>
        <v>0</v>
      </c>
      <c r="C21" s="7">
        <f>DV_Calc!R25</f>
        <v>0</v>
      </c>
      <c r="D21" s="10">
        <f>DV_Calc!J25</f>
        <v>521</v>
      </c>
      <c r="E21" s="7">
        <f>DV_Calc!E25</f>
        <v>0</v>
      </c>
      <c r="F21" s="7">
        <f>DV_Calc!O25</f>
        <v>0</v>
      </c>
      <c r="G21" s="7">
        <f>DV_Calc!M25</f>
        <v>1</v>
      </c>
      <c r="H21" s="39">
        <f>DV_Calc!N25</f>
        <v>0</v>
      </c>
      <c r="I21" s="7">
        <f>DV_Calc!L25</f>
        <v>0</v>
      </c>
    </row>
    <row r="22" spans="1:9">
      <c r="A22" s="17">
        <v>12</v>
      </c>
      <c r="B22" s="8">
        <f>DV_Calc!B26</f>
        <v>0</v>
      </c>
      <c r="C22" s="7">
        <f>DV_Calc!R26</f>
        <v>0</v>
      </c>
      <c r="D22" s="10">
        <f>DV_Calc!J26</f>
        <v>521</v>
      </c>
      <c r="E22" s="7">
        <f>DV_Calc!E26</f>
        <v>0</v>
      </c>
      <c r="F22" s="7">
        <f>DV_Calc!O26</f>
        <v>0</v>
      </c>
      <c r="G22" s="7">
        <f>DV_Calc!M26</f>
        <v>1</v>
      </c>
      <c r="H22" s="39">
        <f>DV_Calc!N26</f>
        <v>0</v>
      </c>
      <c r="I22" s="7">
        <f>DV_Calc!L26</f>
        <v>0</v>
      </c>
    </row>
    <row r="23" spans="1:9">
      <c r="A23" s="17">
        <v>13</v>
      </c>
      <c r="B23" s="8">
        <f>DV_Calc!B27</f>
        <v>0</v>
      </c>
      <c r="C23" s="7">
        <f>DV_Calc!R27</f>
        <v>0</v>
      </c>
      <c r="D23" s="10">
        <f>DV_Calc!J27</f>
        <v>521</v>
      </c>
      <c r="E23" s="7">
        <f>DV_Calc!E27</f>
        <v>0</v>
      </c>
      <c r="F23" s="7">
        <f>DV_Calc!O27</f>
        <v>0</v>
      </c>
      <c r="G23" s="7">
        <f>DV_Calc!M27</f>
        <v>1</v>
      </c>
      <c r="H23" s="39">
        <f>DV_Calc!N27</f>
        <v>0</v>
      </c>
      <c r="I23" s="7">
        <f>DV_Calc!L27</f>
        <v>0</v>
      </c>
    </row>
    <row r="24" spans="1:9">
      <c r="A24" s="17">
        <v>14</v>
      </c>
      <c r="B24" s="8">
        <f>DV_Calc!B28</f>
        <v>0</v>
      </c>
      <c r="C24" s="7">
        <f>DV_Calc!R28</f>
        <v>0</v>
      </c>
      <c r="D24" s="10">
        <f>DV_Calc!J28</f>
        <v>521</v>
      </c>
      <c r="E24" s="7">
        <f>DV_Calc!E28</f>
        <v>0</v>
      </c>
      <c r="F24" s="7">
        <f>DV_Calc!O28</f>
        <v>0</v>
      </c>
      <c r="G24" s="7">
        <f>DV_Calc!M28</f>
        <v>1</v>
      </c>
      <c r="H24" s="39">
        <f>DV_Calc!N28</f>
        <v>0</v>
      </c>
      <c r="I24" s="7">
        <f>DV_Calc!L28</f>
        <v>0</v>
      </c>
    </row>
    <row r="25" spans="1:9">
      <c r="A25" s="17">
        <v>15</v>
      </c>
      <c r="B25" s="8">
        <f>DV_Calc!B29</f>
        <v>0</v>
      </c>
      <c r="C25" s="7">
        <f>DV_Calc!R29</f>
        <v>0</v>
      </c>
      <c r="D25" s="10">
        <f>DV_Calc!J29</f>
        <v>521</v>
      </c>
      <c r="E25" s="7">
        <f>DV_Calc!E29</f>
        <v>0</v>
      </c>
      <c r="F25" s="7">
        <f>DV_Calc!O29</f>
        <v>0</v>
      </c>
      <c r="G25" s="7">
        <f>DV_Calc!M29</f>
        <v>1</v>
      </c>
      <c r="H25" s="39">
        <f>DV_Calc!N29</f>
        <v>0</v>
      </c>
      <c r="I25" s="7">
        <f>DV_Calc!L29</f>
        <v>0</v>
      </c>
    </row>
    <row r="26" spans="1:9">
      <c r="A26" s="17">
        <v>16</v>
      </c>
      <c r="B26" s="8">
        <f>DV_Calc!B30</f>
        <v>0</v>
      </c>
      <c r="C26" s="7">
        <f>DV_Calc!R30</f>
        <v>0</v>
      </c>
      <c r="D26" s="10">
        <f>DV_Calc!J30</f>
        <v>521</v>
      </c>
      <c r="E26" s="7">
        <f>DV_Calc!E30</f>
        <v>0</v>
      </c>
      <c r="F26" s="7">
        <f>DV_Calc!O30</f>
        <v>0</v>
      </c>
      <c r="G26" s="7">
        <f>DV_Calc!M30</f>
        <v>1</v>
      </c>
      <c r="H26" s="39">
        <f>DV_Calc!N30</f>
        <v>0</v>
      </c>
      <c r="I26" s="7">
        <f>DV_Calc!L30</f>
        <v>0</v>
      </c>
    </row>
    <row r="27" spans="1:9">
      <c r="A27" s="17">
        <v>17</v>
      </c>
      <c r="B27" s="8">
        <f>DV_Calc!B31</f>
        <v>0</v>
      </c>
      <c r="C27" s="7">
        <f>DV_Calc!R31</f>
        <v>0</v>
      </c>
      <c r="D27" s="10">
        <f>DV_Calc!J31</f>
        <v>521</v>
      </c>
      <c r="E27" s="7">
        <f>DV_Calc!E31</f>
        <v>0</v>
      </c>
      <c r="F27" s="7">
        <f>DV_Calc!O31</f>
        <v>0</v>
      </c>
      <c r="G27" s="7">
        <f>DV_Calc!M31</f>
        <v>1</v>
      </c>
      <c r="H27" s="39">
        <f>DV_Calc!N31</f>
        <v>0</v>
      </c>
      <c r="I27" s="7">
        <f>DV_Calc!L31</f>
        <v>0</v>
      </c>
    </row>
    <row r="28" spans="1:9">
      <c r="A28" s="17">
        <v>18</v>
      </c>
      <c r="B28" s="8">
        <f>DV_Calc!B32</f>
        <v>0</v>
      </c>
      <c r="C28" s="7">
        <f>DV_Calc!R32</f>
        <v>0</v>
      </c>
      <c r="D28" s="10">
        <f>DV_Calc!J32</f>
        <v>521</v>
      </c>
      <c r="E28" s="7">
        <f>DV_Calc!E32</f>
        <v>0</v>
      </c>
      <c r="F28" s="7">
        <f>DV_Calc!O32</f>
        <v>0</v>
      </c>
      <c r="G28" s="7">
        <f>DV_Calc!M32</f>
        <v>1</v>
      </c>
      <c r="H28" s="39">
        <f>DV_Calc!N32</f>
        <v>0</v>
      </c>
      <c r="I28" s="7">
        <f>DV_Calc!L32</f>
        <v>0</v>
      </c>
    </row>
    <row r="29" spans="1:9">
      <c r="A29" s="17">
        <v>19</v>
      </c>
      <c r="B29" s="8">
        <f>DV_Calc!B33</f>
        <v>0</v>
      </c>
      <c r="C29" s="7">
        <f>DV_Calc!R33</f>
        <v>0</v>
      </c>
      <c r="D29" s="10">
        <f>DV_Calc!J33</f>
        <v>521</v>
      </c>
      <c r="E29" s="7">
        <f>DV_Calc!E33</f>
        <v>0</v>
      </c>
      <c r="F29" s="7">
        <f>DV_Calc!O33</f>
        <v>0</v>
      </c>
      <c r="G29" s="7">
        <f>DV_Calc!M33</f>
        <v>1</v>
      </c>
      <c r="H29" s="39">
        <f>DV_Calc!N33</f>
        <v>0</v>
      </c>
      <c r="I29" s="7">
        <f>DV_Calc!L33</f>
        <v>0</v>
      </c>
    </row>
    <row r="30" spans="1:9">
      <c r="A30" s="17">
        <v>20</v>
      </c>
      <c r="B30" s="8">
        <f>DV_Calc!B34</f>
        <v>0</v>
      </c>
      <c r="C30" s="7">
        <f>DV_Calc!R34</f>
        <v>0</v>
      </c>
      <c r="D30" s="10">
        <f>DV_Calc!J34</f>
        <v>521</v>
      </c>
      <c r="E30" s="7">
        <f>DV_Calc!E34</f>
        <v>0</v>
      </c>
      <c r="F30" s="7">
        <f>DV_Calc!O34</f>
        <v>0</v>
      </c>
      <c r="G30" s="7">
        <f>DV_Calc!M34</f>
        <v>1</v>
      </c>
      <c r="H30" s="39">
        <f>DV_Calc!N34</f>
        <v>0</v>
      </c>
      <c r="I30" s="7">
        <f>DV_Calc!L34</f>
        <v>0</v>
      </c>
    </row>
    <row r="31" spans="1:9">
      <c r="A31" s="17">
        <v>21</v>
      </c>
      <c r="B31" s="8">
        <f>DV_Calc!B35</f>
        <v>0</v>
      </c>
      <c r="C31" s="7">
        <f>DV_Calc!R35</f>
        <v>0</v>
      </c>
      <c r="D31" s="10">
        <f>DV_Calc!J35</f>
        <v>521</v>
      </c>
      <c r="E31" s="7">
        <f>DV_Calc!E35</f>
        <v>0</v>
      </c>
      <c r="F31" s="7">
        <f>DV_Calc!O35</f>
        <v>0</v>
      </c>
      <c r="G31" s="7">
        <f>DV_Calc!M35</f>
        <v>1</v>
      </c>
      <c r="H31" s="39">
        <f>DV_Calc!N35</f>
        <v>0</v>
      </c>
      <c r="I31" s="7">
        <f>DV_Calc!L35</f>
        <v>0</v>
      </c>
    </row>
    <row r="32" spans="1:9">
      <c r="A32" s="17">
        <v>22</v>
      </c>
      <c r="B32" s="8">
        <f>DV_Calc!B36</f>
        <v>0</v>
      </c>
      <c r="C32" s="7">
        <f>DV_Calc!R36</f>
        <v>0</v>
      </c>
      <c r="D32" s="10">
        <f>DV_Calc!J36</f>
        <v>521</v>
      </c>
      <c r="E32" s="7">
        <f>DV_Calc!E36</f>
        <v>0</v>
      </c>
      <c r="F32" s="7">
        <f>DV_Calc!O36</f>
        <v>0</v>
      </c>
      <c r="G32" s="7">
        <f>DV_Calc!M36</f>
        <v>1</v>
      </c>
      <c r="H32" s="39">
        <f>DV_Calc!N36</f>
        <v>0</v>
      </c>
      <c r="I32" s="7">
        <f>DV_Calc!L36</f>
        <v>0</v>
      </c>
    </row>
    <row r="33" spans="1:13">
      <c r="A33" s="17">
        <v>23</v>
      </c>
      <c r="B33" s="8">
        <f>DV_Calc!B37</f>
        <v>0</v>
      </c>
      <c r="C33" s="7">
        <f>DV_Calc!R37</f>
        <v>0</v>
      </c>
      <c r="D33" s="10">
        <f>DV_Calc!J37</f>
        <v>521</v>
      </c>
      <c r="E33" s="7">
        <f>DV_Calc!E37</f>
        <v>0</v>
      </c>
      <c r="F33" s="7">
        <f>DV_Calc!O37</f>
        <v>0</v>
      </c>
      <c r="G33" s="7">
        <f>DV_Calc!M37</f>
        <v>1</v>
      </c>
      <c r="H33" s="39">
        <f>DV_Calc!N37</f>
        <v>0</v>
      </c>
      <c r="I33" s="7">
        <f>DV_Calc!L37</f>
        <v>0</v>
      </c>
    </row>
    <row r="34" spans="1:13">
      <c r="A34" s="17">
        <v>24</v>
      </c>
      <c r="B34" s="8">
        <f>DV_Calc!B38</f>
        <v>0</v>
      </c>
      <c r="C34" s="7">
        <f>DV_Calc!R38</f>
        <v>0</v>
      </c>
      <c r="D34" s="10">
        <f>DV_Calc!J38</f>
        <v>521</v>
      </c>
      <c r="E34" s="7">
        <f>DV_Calc!E38</f>
        <v>0</v>
      </c>
      <c r="F34" s="7">
        <f>DV_Calc!O38</f>
        <v>0</v>
      </c>
      <c r="G34" s="7">
        <f>DV_Calc!M38</f>
        <v>1</v>
      </c>
      <c r="H34" s="39">
        <f>DV_Calc!N38</f>
        <v>0</v>
      </c>
      <c r="I34" s="7">
        <f>DV_Calc!L38</f>
        <v>0</v>
      </c>
    </row>
    <row r="35" spans="1:13">
      <c r="A35" s="17">
        <v>25</v>
      </c>
      <c r="B35" s="8">
        <f>DV_Calc!B39</f>
        <v>0</v>
      </c>
      <c r="C35" s="7">
        <f>DV_Calc!R39</f>
        <v>0</v>
      </c>
      <c r="D35" s="10">
        <f>DV_Calc!J39</f>
        <v>521</v>
      </c>
      <c r="E35" s="7">
        <f>DV_Calc!E39</f>
        <v>0</v>
      </c>
      <c r="F35" s="7">
        <f>DV_Calc!O39</f>
        <v>0</v>
      </c>
      <c r="G35" s="7">
        <f>DV_Calc!M39</f>
        <v>1</v>
      </c>
      <c r="H35" s="39">
        <f>DV_Calc!N39</f>
        <v>0</v>
      </c>
      <c r="I35" s="7">
        <f>DV_Calc!L39</f>
        <v>0</v>
      </c>
    </row>
    <row r="36" spans="1:13">
      <c r="A36" s="17">
        <v>26</v>
      </c>
      <c r="B36" s="8">
        <f>DV_Calc!B40</f>
        <v>0</v>
      </c>
      <c r="C36" s="7">
        <f>DV_Calc!R40</f>
        <v>0</v>
      </c>
      <c r="D36" s="10">
        <f>DV_Calc!J40</f>
        <v>521</v>
      </c>
      <c r="E36" s="7">
        <f>DV_Calc!E40</f>
        <v>0</v>
      </c>
      <c r="F36" s="7">
        <f>DV_Calc!O40</f>
        <v>0</v>
      </c>
      <c r="G36" s="7">
        <f>DV_Calc!M40</f>
        <v>1</v>
      </c>
      <c r="H36" s="39">
        <f>DV_Calc!N40</f>
        <v>0</v>
      </c>
      <c r="I36" s="7">
        <f>DV_Calc!L40</f>
        <v>0</v>
      </c>
    </row>
    <row r="38" spans="1:13" ht="21.95" customHeight="1">
      <c r="A38" s="43" t="s">
        <v>335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spans="1:13" ht="18" customHeight="1">
      <c r="A39" s="56" t="s">
        <v>336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spans="1:13" ht="39.950000000000003" customHeight="1">
      <c r="A40" s="16" t="s">
        <v>337</v>
      </c>
      <c r="B40" s="16" t="s">
        <v>338</v>
      </c>
      <c r="C40" s="16" t="s">
        <v>339</v>
      </c>
      <c r="D40" s="16" t="s">
        <v>340</v>
      </c>
      <c r="E40" s="16" t="s">
        <v>341</v>
      </c>
      <c r="F40" s="16" t="s">
        <v>334</v>
      </c>
    </row>
    <row r="41" spans="1:13">
      <c r="A41" s="17">
        <v>1</v>
      </c>
      <c r="B41" s="8">
        <f>DV_Calc!B16</f>
        <v>0</v>
      </c>
      <c r="C41" s="11">
        <f>DV_Calc!P16</f>
        <v>521</v>
      </c>
      <c r="D41" s="12">
        <f>DV_Calc!Q16</f>
        <v>0</v>
      </c>
      <c r="E41" s="21">
        <f>DV_Calc!O16*DV_Calc!$E$7/DV_Calc!$E$15</f>
        <v>0</v>
      </c>
      <c r="F41" s="7">
        <f>DV_Calc!L16</f>
        <v>0.88476530175390133</v>
      </c>
    </row>
    <row r="42" spans="1:13">
      <c r="A42" s="17">
        <v>2</v>
      </c>
      <c r="B42" s="8">
        <f>DV_Calc!B17</f>
        <v>0</v>
      </c>
      <c r="C42" s="11">
        <f>DV_Calc!P17</f>
        <v>521</v>
      </c>
      <c r="D42" s="12">
        <f>DV_Calc!Q17</f>
        <v>0</v>
      </c>
      <c r="E42" s="21">
        <f>DV_Calc!O17*DV_Calc!$E$7/DV_Calc!$E$15</f>
        <v>0</v>
      </c>
      <c r="F42" s="7">
        <f>DV_Calc!L17</f>
        <v>0.92152059004281195</v>
      </c>
    </row>
    <row r="43" spans="1:13">
      <c r="A43" s="17">
        <v>3</v>
      </c>
      <c r="B43" s="8">
        <f>DV_Calc!B18</f>
        <v>0</v>
      </c>
      <c r="C43" s="11">
        <f>DV_Calc!P18</f>
        <v>521</v>
      </c>
      <c r="D43" s="12">
        <f>DV_Calc!Q18</f>
        <v>0</v>
      </c>
      <c r="E43" s="21">
        <f>DV_Calc!O18*DV_Calc!$E$7/DV_Calc!$E$15</f>
        <v>0</v>
      </c>
      <c r="F43" s="7">
        <f>DV_Calc!L18</f>
        <v>0.9752769796989369</v>
      </c>
    </row>
    <row r="44" spans="1:13">
      <c r="A44" s="17">
        <v>4</v>
      </c>
      <c r="B44" s="8">
        <f>DV_Calc!B19</f>
        <v>0</v>
      </c>
      <c r="C44" s="11">
        <f>DV_Calc!P19</f>
        <v>521</v>
      </c>
      <c r="D44" s="12">
        <f>DV_Calc!Q19</f>
        <v>0</v>
      </c>
      <c r="E44" s="21">
        <f>DV_Calc!O19*DV_Calc!$E$7/DV_Calc!$E$15</f>
        <v>0</v>
      </c>
      <c r="F44" s="7">
        <f>DV_Calc!L19</f>
        <v>1.0843267518298578</v>
      </c>
    </row>
    <row r="45" spans="1:13">
      <c r="A45" s="17">
        <v>5</v>
      </c>
      <c r="B45" s="8">
        <f>DV_Calc!B20</f>
        <v>0</v>
      </c>
      <c r="C45" s="11">
        <f>DV_Calc!P20</f>
        <v>521</v>
      </c>
      <c r="D45" s="12">
        <f>DV_Calc!Q20</f>
        <v>0</v>
      </c>
      <c r="E45" s="21">
        <f>DV_Calc!O20*DV_Calc!$E$7/DV_Calc!$E$15</f>
        <v>0</v>
      </c>
      <c r="F45" s="7">
        <f>DV_Calc!L20</f>
        <v>1.3658778431846432</v>
      </c>
    </row>
    <row r="46" spans="1:13">
      <c r="A46" s="17">
        <v>6</v>
      </c>
      <c r="B46" s="8">
        <f>DV_Calc!B21</f>
        <v>0</v>
      </c>
      <c r="C46" s="11">
        <f>DV_Calc!P21</f>
        <v>521</v>
      </c>
      <c r="D46" s="12">
        <f>DV_Calc!Q21</f>
        <v>0</v>
      </c>
      <c r="E46" s="21">
        <f>DV_Calc!O21*DV_Calc!$E$7/DV_Calc!$E$15</f>
        <v>0</v>
      </c>
      <c r="F46" s="7">
        <f>DV_Calc!L21</f>
        <v>2.3076993541637902</v>
      </c>
    </row>
    <row r="47" spans="1:13">
      <c r="A47" s="17">
        <v>7</v>
      </c>
      <c r="B47" s="8">
        <f>DV_Calc!B22</f>
        <v>0</v>
      </c>
      <c r="C47" s="11">
        <f>DV_Calc!P22</f>
        <v>521</v>
      </c>
      <c r="D47" s="12">
        <f>DV_Calc!Q22</f>
        <v>0</v>
      </c>
      <c r="E47" s="21">
        <f>DV_Calc!O22*DV_Calc!$E$7/DV_Calc!$E$15</f>
        <v>0</v>
      </c>
      <c r="F47" s="7">
        <f>DV_Calc!L22</f>
        <v>0</v>
      </c>
    </row>
    <row r="48" spans="1:13">
      <c r="A48" s="17">
        <v>8</v>
      </c>
      <c r="B48" s="8">
        <f>DV_Calc!B23</f>
        <v>0</v>
      </c>
      <c r="C48" s="11">
        <f>DV_Calc!P23</f>
        <v>521</v>
      </c>
      <c r="D48" s="12">
        <f>DV_Calc!Q23</f>
        <v>0</v>
      </c>
      <c r="E48" s="21">
        <f>DV_Calc!O23*DV_Calc!$E$7/DV_Calc!$E$15</f>
        <v>0</v>
      </c>
      <c r="F48" s="7">
        <f>DV_Calc!L23</f>
        <v>0</v>
      </c>
    </row>
    <row r="51" spans="1:13" ht="21.95" customHeight="1">
      <c r="A51" s="43" t="s">
        <v>342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spans="1:13" ht="30" customHeight="1">
      <c r="A52" s="16" t="s">
        <v>88</v>
      </c>
      <c r="B52" s="16" t="s">
        <v>89</v>
      </c>
      <c r="C52" s="16" t="s">
        <v>214</v>
      </c>
      <c r="D52" s="16" t="s">
        <v>343</v>
      </c>
      <c r="E52" s="16" t="s">
        <v>344</v>
      </c>
      <c r="F52" s="16" t="s">
        <v>281</v>
      </c>
      <c r="G52" s="16" t="s">
        <v>345</v>
      </c>
    </row>
    <row r="53" spans="1:13">
      <c r="A53" s="23">
        <v>1</v>
      </c>
      <c r="B53" s="24" t="s">
        <v>97</v>
      </c>
      <c r="C53" s="25" t="s">
        <v>98</v>
      </c>
      <c r="D53" s="7">
        <f>Compositions_Master!F8</f>
        <v>0</v>
      </c>
      <c r="E53" s="7">
        <f>Compositions_Master!G8</f>
        <v>0</v>
      </c>
      <c r="F53" s="7">
        <f>Compositions_Master!X8</f>
        <v>0</v>
      </c>
      <c r="G53" s="7">
        <f>Compositions_Master!Y8</f>
        <v>0</v>
      </c>
    </row>
    <row r="54" spans="1:13">
      <c r="A54" s="23">
        <v>2</v>
      </c>
      <c r="B54" s="24" t="s">
        <v>99</v>
      </c>
      <c r="C54" s="25" t="s">
        <v>100</v>
      </c>
      <c r="D54" s="7">
        <f>Compositions_Master!F9</f>
        <v>0</v>
      </c>
      <c r="E54" s="7">
        <f>Compositions_Master!G9</f>
        <v>0</v>
      </c>
      <c r="F54" s="7">
        <f>Compositions_Master!X9</f>
        <v>0</v>
      </c>
      <c r="G54" s="7">
        <f>Compositions_Master!Y9</f>
        <v>0</v>
      </c>
    </row>
    <row r="55" spans="1:13">
      <c r="A55" s="23">
        <v>3</v>
      </c>
      <c r="B55" s="24" t="s">
        <v>101</v>
      </c>
      <c r="C55" s="25" t="s">
        <v>102</v>
      </c>
      <c r="D55" s="7">
        <f>Compositions_Master!F10</f>
        <v>0</v>
      </c>
      <c r="E55" s="7">
        <f>Compositions_Master!G10</f>
        <v>0</v>
      </c>
      <c r="F55" s="7">
        <f>Compositions_Master!X10</f>
        <v>0</v>
      </c>
      <c r="G55" s="7">
        <f>Compositions_Master!Y10</f>
        <v>0</v>
      </c>
    </row>
    <row r="56" spans="1:13">
      <c r="A56" s="23">
        <v>4</v>
      </c>
      <c r="B56" s="24" t="s">
        <v>103</v>
      </c>
      <c r="C56" s="25" t="s">
        <v>104</v>
      </c>
      <c r="D56" s="7">
        <f>Compositions_Master!F11</f>
        <v>0</v>
      </c>
      <c r="E56" s="7">
        <f>Compositions_Master!G11</f>
        <v>0</v>
      </c>
      <c r="F56" s="7">
        <f>Compositions_Master!X11</f>
        <v>0</v>
      </c>
      <c r="G56" s="7">
        <f>Compositions_Master!Y11</f>
        <v>0</v>
      </c>
    </row>
    <row r="57" spans="1:13">
      <c r="A57" s="23">
        <v>5</v>
      </c>
      <c r="B57" s="24" t="s">
        <v>105</v>
      </c>
      <c r="C57" s="25" t="s">
        <v>106</v>
      </c>
      <c r="D57" s="7">
        <f>Compositions_Master!F12</f>
        <v>0</v>
      </c>
      <c r="E57" s="7">
        <f>Compositions_Master!G12</f>
        <v>0</v>
      </c>
      <c r="F57" s="7">
        <f>Compositions_Master!X12</f>
        <v>0</v>
      </c>
      <c r="G57" s="7">
        <f>Compositions_Master!Y12</f>
        <v>0</v>
      </c>
    </row>
    <row r="58" spans="1:13">
      <c r="A58" s="23">
        <v>6</v>
      </c>
      <c r="B58" s="24" t="s">
        <v>107</v>
      </c>
      <c r="C58" s="25" t="s">
        <v>108</v>
      </c>
      <c r="D58" s="7">
        <f>Compositions_Master!F13</f>
        <v>0</v>
      </c>
      <c r="E58" s="7">
        <f>Compositions_Master!G13</f>
        <v>0</v>
      </c>
      <c r="F58" s="7">
        <f>Compositions_Master!X13</f>
        <v>0.01</v>
      </c>
      <c r="G58" s="7">
        <f>Compositions_Master!Y13</f>
        <v>0</v>
      </c>
    </row>
    <row r="59" spans="1:13">
      <c r="A59" s="23">
        <v>7</v>
      </c>
      <c r="B59" s="24" t="s">
        <v>109</v>
      </c>
      <c r="C59" s="25" t="s">
        <v>110</v>
      </c>
      <c r="D59" s="7">
        <f>Compositions_Master!F14</f>
        <v>0</v>
      </c>
      <c r="E59" s="7">
        <f>Compositions_Master!G14</f>
        <v>0</v>
      </c>
      <c r="F59" s="7">
        <f>Compositions_Master!X14</f>
        <v>7.0000000000000007E-2</v>
      </c>
      <c r="G59" s="7">
        <f>Compositions_Master!Y14</f>
        <v>0.02</v>
      </c>
    </row>
    <row r="60" spans="1:13">
      <c r="A60" s="23">
        <v>8</v>
      </c>
      <c r="B60" s="24" t="s">
        <v>111</v>
      </c>
      <c r="C60" s="25" t="s">
        <v>112</v>
      </c>
      <c r="D60" s="7">
        <f>Compositions_Master!F15</f>
        <v>0</v>
      </c>
      <c r="E60" s="7">
        <f>Compositions_Master!G15</f>
        <v>0</v>
      </c>
      <c r="F60" s="7">
        <f>Compositions_Master!X15</f>
        <v>0.1</v>
      </c>
      <c r="G60" s="7">
        <f>Compositions_Master!Y15</f>
        <v>0.03</v>
      </c>
    </row>
    <row r="61" spans="1:13">
      <c r="A61" s="23">
        <v>9</v>
      </c>
      <c r="B61" s="24" t="s">
        <v>113</v>
      </c>
      <c r="C61" s="25" t="s">
        <v>114</v>
      </c>
      <c r="D61" s="7">
        <f>Compositions_Master!F16</f>
        <v>0</v>
      </c>
      <c r="E61" s="7">
        <f>Compositions_Master!G16</f>
        <v>0</v>
      </c>
      <c r="F61" s="7">
        <f>Compositions_Master!X16</f>
        <v>0.45</v>
      </c>
      <c r="G61" s="7">
        <f>Compositions_Master!Y16</f>
        <v>0.12</v>
      </c>
    </row>
    <row r="62" spans="1:13">
      <c r="A62" s="23">
        <v>10</v>
      </c>
      <c r="B62" s="24" t="s">
        <v>115</v>
      </c>
      <c r="C62" s="25" t="s">
        <v>116</v>
      </c>
      <c r="D62" s="7">
        <f>Compositions_Master!F17</f>
        <v>0</v>
      </c>
      <c r="E62" s="7">
        <f>Compositions_Master!G17</f>
        <v>0</v>
      </c>
      <c r="F62" s="7">
        <f>Compositions_Master!X17</f>
        <v>0</v>
      </c>
      <c r="G62" s="7">
        <f>Compositions_Master!Y17</f>
        <v>0</v>
      </c>
    </row>
    <row r="63" spans="1:13">
      <c r="A63" s="23">
        <v>11</v>
      </c>
      <c r="B63" s="24" t="s">
        <v>117</v>
      </c>
      <c r="C63" s="25" t="s">
        <v>118</v>
      </c>
      <c r="D63" s="7">
        <f>Compositions_Master!F18</f>
        <v>0</v>
      </c>
      <c r="E63" s="7">
        <f>Compositions_Master!G18</f>
        <v>0</v>
      </c>
      <c r="F63" s="7">
        <f>Compositions_Master!X18</f>
        <v>0.44</v>
      </c>
      <c r="G63" s="7">
        <f>Compositions_Master!Y18</f>
        <v>0.15</v>
      </c>
    </row>
    <row r="64" spans="1:13">
      <c r="A64" s="23">
        <v>12</v>
      </c>
      <c r="B64" s="24" t="s">
        <v>119</v>
      </c>
      <c r="C64" s="25" t="s">
        <v>120</v>
      </c>
      <c r="D64" s="7">
        <f>Compositions_Master!F19</f>
        <v>0</v>
      </c>
      <c r="E64" s="7">
        <f>Compositions_Master!G19</f>
        <v>0</v>
      </c>
      <c r="F64" s="7">
        <f>Compositions_Master!X19</f>
        <v>0.82</v>
      </c>
      <c r="G64" s="7">
        <f>Compositions_Master!Y19</f>
        <v>0.27</v>
      </c>
    </row>
    <row r="65" spans="1:7">
      <c r="A65" s="23">
        <v>13</v>
      </c>
      <c r="B65" s="24" t="s">
        <v>121</v>
      </c>
      <c r="C65" s="25" t="s">
        <v>122</v>
      </c>
      <c r="D65" s="7">
        <f>Compositions_Master!F20</f>
        <v>0</v>
      </c>
      <c r="E65" s="7">
        <f>Compositions_Master!G20</f>
        <v>0</v>
      </c>
      <c r="F65" s="7">
        <f>Compositions_Master!X20</f>
        <v>3.71</v>
      </c>
      <c r="G65" s="7">
        <f>Compositions_Master!Y20</f>
        <v>1.48</v>
      </c>
    </row>
    <row r="66" spans="1:7">
      <c r="A66" s="23">
        <v>14</v>
      </c>
      <c r="B66" s="24" t="s">
        <v>123</v>
      </c>
      <c r="C66" s="25" t="s">
        <v>124</v>
      </c>
      <c r="D66" s="7">
        <f>Compositions_Master!F21</f>
        <v>0</v>
      </c>
      <c r="E66" s="7">
        <f>Compositions_Master!G21</f>
        <v>0</v>
      </c>
      <c r="F66" s="7">
        <f>Compositions_Master!X21</f>
        <v>0.79</v>
      </c>
      <c r="G66" s="7">
        <f>Compositions_Master!Y21</f>
        <v>0.31</v>
      </c>
    </row>
    <row r="67" spans="1:7">
      <c r="A67" s="23">
        <v>15</v>
      </c>
      <c r="B67" s="24" t="s">
        <v>125</v>
      </c>
      <c r="C67" s="25" t="s">
        <v>125</v>
      </c>
      <c r="D67" s="7">
        <f>Compositions_Master!F22</f>
        <v>0</v>
      </c>
      <c r="E67" s="7">
        <f>Compositions_Master!G22</f>
        <v>0</v>
      </c>
      <c r="F67" s="7">
        <f>Compositions_Master!X22</f>
        <v>0.23</v>
      </c>
      <c r="G67" s="7">
        <f>Compositions_Master!Y22</f>
        <v>0.09</v>
      </c>
    </row>
    <row r="68" spans="1:7">
      <c r="A68" s="23">
        <v>16</v>
      </c>
      <c r="B68" s="24" t="s">
        <v>126</v>
      </c>
      <c r="C68" s="25" t="s">
        <v>127</v>
      </c>
      <c r="D68" s="7">
        <f>Compositions_Master!F23</f>
        <v>0</v>
      </c>
      <c r="E68" s="7">
        <f>Compositions_Master!G23</f>
        <v>0</v>
      </c>
      <c r="F68" s="7">
        <f>Compositions_Master!X23</f>
        <v>0.57999999999999996</v>
      </c>
      <c r="G68" s="7">
        <f>Compositions_Master!Y23</f>
        <v>0.23</v>
      </c>
    </row>
    <row r="69" spans="1:7">
      <c r="A69" s="23">
        <v>17</v>
      </c>
      <c r="B69" s="24" t="s">
        <v>128</v>
      </c>
      <c r="C69" s="25" t="s">
        <v>129</v>
      </c>
      <c r="D69" s="7">
        <f>Compositions_Master!F24</f>
        <v>0</v>
      </c>
      <c r="E69" s="7">
        <f>Compositions_Master!G24</f>
        <v>0</v>
      </c>
      <c r="F69" s="7">
        <f>Compositions_Master!X24</f>
        <v>5.35</v>
      </c>
      <c r="G69" s="7">
        <f>Compositions_Master!Y24</f>
        <v>2.48</v>
      </c>
    </row>
    <row r="70" spans="1:7">
      <c r="A70" s="23">
        <v>18</v>
      </c>
      <c r="B70" s="24" t="s">
        <v>130</v>
      </c>
      <c r="C70" s="25" t="s">
        <v>131</v>
      </c>
      <c r="D70" s="7">
        <f>Compositions_Master!F25</f>
        <v>0</v>
      </c>
      <c r="E70" s="7">
        <f>Compositions_Master!G25</f>
        <v>0</v>
      </c>
      <c r="F70" s="7">
        <f>Compositions_Master!X25</f>
        <v>1.26</v>
      </c>
      <c r="G70" s="7">
        <f>Compositions_Master!Y25</f>
        <v>0.56999999999999995</v>
      </c>
    </row>
    <row r="71" spans="1:7">
      <c r="A71" s="23">
        <v>19</v>
      </c>
      <c r="B71" s="24" t="s">
        <v>132</v>
      </c>
      <c r="C71" s="25" t="s">
        <v>132</v>
      </c>
      <c r="D71" s="7">
        <f>Compositions_Master!F26</f>
        <v>0</v>
      </c>
      <c r="E71" s="7">
        <f>Compositions_Master!G26</f>
        <v>0</v>
      </c>
      <c r="F71" s="7">
        <f>Compositions_Master!X26</f>
        <v>0.98</v>
      </c>
      <c r="G71" s="7">
        <f>Compositions_Master!Y26</f>
        <v>0.42</v>
      </c>
    </row>
    <row r="72" spans="1:7">
      <c r="A72" s="23">
        <v>20</v>
      </c>
      <c r="B72" s="24" t="s">
        <v>133</v>
      </c>
      <c r="C72" s="25" t="s">
        <v>134</v>
      </c>
      <c r="D72" s="7">
        <f>Compositions_Master!F27</f>
        <v>0</v>
      </c>
      <c r="E72" s="7">
        <f>Compositions_Master!G27</f>
        <v>0</v>
      </c>
      <c r="F72" s="7">
        <f>Compositions_Master!X27</f>
        <v>6.48</v>
      </c>
      <c r="G72" s="7">
        <f>Compositions_Master!Y27</f>
        <v>3.43</v>
      </c>
    </row>
    <row r="73" spans="1:7">
      <c r="A73" s="23">
        <v>21</v>
      </c>
      <c r="B73" s="24" t="s">
        <v>135</v>
      </c>
      <c r="C73" s="25" t="s">
        <v>136</v>
      </c>
      <c r="D73" s="7">
        <f>Compositions_Master!F28</f>
        <v>0</v>
      </c>
      <c r="E73" s="7">
        <f>Compositions_Master!G28</f>
        <v>0</v>
      </c>
      <c r="F73" s="7">
        <f>Compositions_Master!X28</f>
        <v>0.73</v>
      </c>
      <c r="G73" s="7">
        <f>Compositions_Master!Y28</f>
        <v>0.36</v>
      </c>
    </row>
    <row r="74" spans="1:7">
      <c r="A74" s="23">
        <v>22</v>
      </c>
      <c r="B74" s="24" t="s">
        <v>137</v>
      </c>
      <c r="C74" s="25" t="s">
        <v>138</v>
      </c>
      <c r="D74" s="7">
        <f>Compositions_Master!F29</f>
        <v>0</v>
      </c>
      <c r="E74" s="7">
        <f>Compositions_Master!G29</f>
        <v>0</v>
      </c>
      <c r="F74" s="7">
        <f>Compositions_Master!X29</f>
        <v>1.38</v>
      </c>
      <c r="G74" s="7">
        <f>Compositions_Master!Y29</f>
        <v>0.68</v>
      </c>
    </row>
    <row r="75" spans="1:7">
      <c r="A75" s="23">
        <v>23</v>
      </c>
      <c r="B75" s="24" t="s">
        <v>139</v>
      </c>
      <c r="C75" s="25" t="s">
        <v>140</v>
      </c>
      <c r="D75" s="7">
        <f>Compositions_Master!F30</f>
        <v>0</v>
      </c>
      <c r="E75" s="7">
        <f>Compositions_Master!G30</f>
        <v>0</v>
      </c>
      <c r="F75" s="7">
        <f>Compositions_Master!X30</f>
        <v>0.68</v>
      </c>
      <c r="G75" s="7">
        <f>Compositions_Master!Y30</f>
        <v>0.34</v>
      </c>
    </row>
    <row r="76" spans="1:7">
      <c r="A76" s="23">
        <v>24</v>
      </c>
      <c r="B76" s="24" t="s">
        <v>141</v>
      </c>
      <c r="C76" s="25" t="s">
        <v>142</v>
      </c>
      <c r="D76" s="7">
        <f>Compositions_Master!F31</f>
        <v>0</v>
      </c>
      <c r="E76" s="7">
        <f>Compositions_Master!G31</f>
        <v>0</v>
      </c>
      <c r="F76" s="7">
        <f>Compositions_Master!X31</f>
        <v>5.9</v>
      </c>
      <c r="G76" s="7">
        <f>Compositions_Master!Y31</f>
        <v>3.51</v>
      </c>
    </row>
    <row r="77" spans="1:7">
      <c r="A77" s="23">
        <v>25</v>
      </c>
      <c r="B77" s="24" t="s">
        <v>143</v>
      </c>
      <c r="C77" s="25" t="s">
        <v>144</v>
      </c>
      <c r="D77" s="7">
        <f>Compositions_Master!F32</f>
        <v>0</v>
      </c>
      <c r="E77" s="7">
        <f>Compositions_Master!G32</f>
        <v>0</v>
      </c>
      <c r="F77" s="7">
        <f>Compositions_Master!X32</f>
        <v>0.92</v>
      </c>
      <c r="G77" s="7">
        <f>Compositions_Master!Y32</f>
        <v>0.51</v>
      </c>
    </row>
    <row r="78" spans="1:7">
      <c r="A78" s="23">
        <v>26</v>
      </c>
      <c r="B78" s="24" t="s">
        <v>145</v>
      </c>
      <c r="C78" s="25" t="s">
        <v>146</v>
      </c>
      <c r="D78" s="7">
        <f>Compositions_Master!F33</f>
        <v>0</v>
      </c>
      <c r="E78" s="7">
        <f>Compositions_Master!G33</f>
        <v>0</v>
      </c>
      <c r="F78" s="7">
        <f>Compositions_Master!X33</f>
        <v>7.2</v>
      </c>
      <c r="G78" s="7">
        <f>Compositions_Master!Y33</f>
        <v>4.75</v>
      </c>
    </row>
    <row r="79" spans="1:7">
      <c r="A79" s="23">
        <v>27</v>
      </c>
      <c r="B79" s="24" t="s">
        <v>147</v>
      </c>
      <c r="C79" s="25" t="s">
        <v>148</v>
      </c>
      <c r="D79" s="7">
        <f>Compositions_Master!F34</f>
        <v>0</v>
      </c>
      <c r="E79" s="7">
        <f>Compositions_Master!G34</f>
        <v>0</v>
      </c>
      <c r="F79" s="7">
        <f>Compositions_Master!X34</f>
        <v>7.11</v>
      </c>
      <c r="G79" s="7">
        <f>Compositions_Master!Y34</f>
        <v>4.8499999999999996</v>
      </c>
    </row>
    <row r="80" spans="1:7">
      <c r="A80" s="23">
        <v>28</v>
      </c>
      <c r="B80" s="24" t="s">
        <v>149</v>
      </c>
      <c r="C80" s="25" t="s">
        <v>150</v>
      </c>
      <c r="D80" s="7">
        <f>Compositions_Master!F35</f>
        <v>0</v>
      </c>
      <c r="E80" s="7">
        <f>Compositions_Master!G35</f>
        <v>0</v>
      </c>
      <c r="F80" s="7">
        <f>Compositions_Master!X35</f>
        <v>5.92</v>
      </c>
      <c r="G80" s="7">
        <f>Compositions_Master!Y35</f>
        <v>4.42</v>
      </c>
    </row>
    <row r="81" spans="1:7">
      <c r="A81" s="23">
        <v>29</v>
      </c>
      <c r="B81" s="24" t="s">
        <v>151</v>
      </c>
      <c r="C81" s="25" t="s">
        <v>152</v>
      </c>
      <c r="D81" s="7">
        <f>Compositions_Master!F36</f>
        <v>0</v>
      </c>
      <c r="E81" s="7">
        <f>Compositions_Master!G36</f>
        <v>0</v>
      </c>
      <c r="F81" s="7">
        <f>Compositions_Master!X36</f>
        <v>5.27</v>
      </c>
      <c r="G81" s="7">
        <f>Compositions_Master!Y36</f>
        <v>4.28</v>
      </c>
    </row>
    <row r="82" spans="1:7">
      <c r="A82" s="23">
        <v>30</v>
      </c>
      <c r="B82" s="24" t="s">
        <v>153</v>
      </c>
      <c r="C82" s="25" t="s">
        <v>154</v>
      </c>
      <c r="D82" s="7">
        <f>Compositions_Master!F37</f>
        <v>0</v>
      </c>
      <c r="E82" s="7">
        <f>Compositions_Master!G37</f>
        <v>0</v>
      </c>
      <c r="F82" s="7">
        <f>Compositions_Master!X37</f>
        <v>4.6100000000000003</v>
      </c>
      <c r="G82" s="7">
        <f>Compositions_Master!Y37</f>
        <v>4.0599999999999996</v>
      </c>
    </row>
    <row r="83" spans="1:7">
      <c r="A83" s="23">
        <v>31</v>
      </c>
      <c r="B83" s="24" t="s">
        <v>155</v>
      </c>
      <c r="C83" s="25" t="s">
        <v>156</v>
      </c>
      <c r="D83" s="7">
        <f>Compositions_Master!F38</f>
        <v>0</v>
      </c>
      <c r="E83" s="7">
        <f>Compositions_Master!G38</f>
        <v>0</v>
      </c>
      <c r="F83" s="7">
        <f>Compositions_Master!X38</f>
        <v>4.1399999999999997</v>
      </c>
      <c r="G83" s="7">
        <f>Compositions_Master!Y38</f>
        <v>3.96</v>
      </c>
    </row>
    <row r="84" spans="1:7">
      <c r="A84" s="23">
        <v>32</v>
      </c>
      <c r="B84" s="24" t="s">
        <v>157</v>
      </c>
      <c r="C84" s="25" t="s">
        <v>158</v>
      </c>
      <c r="D84" s="7">
        <f>Compositions_Master!F39</f>
        <v>0</v>
      </c>
      <c r="E84" s="7">
        <f>Compositions_Master!G39</f>
        <v>0</v>
      </c>
      <c r="F84" s="7">
        <f>Compositions_Master!X39</f>
        <v>3.48</v>
      </c>
      <c r="G84" s="7">
        <f>Compositions_Master!Y39</f>
        <v>3.58</v>
      </c>
    </row>
    <row r="85" spans="1:7">
      <c r="A85" s="23">
        <v>33</v>
      </c>
      <c r="B85" s="24" t="s">
        <v>159</v>
      </c>
      <c r="C85" s="25" t="s">
        <v>160</v>
      </c>
      <c r="D85" s="7">
        <f>Compositions_Master!F40</f>
        <v>0</v>
      </c>
      <c r="E85" s="7">
        <f>Compositions_Master!G40</f>
        <v>0</v>
      </c>
      <c r="F85" s="7">
        <f>Compositions_Master!X40</f>
        <v>2.91</v>
      </c>
      <c r="G85" s="7">
        <f>Compositions_Master!Y40</f>
        <v>3.19</v>
      </c>
    </row>
    <row r="86" spans="1:7">
      <c r="A86" s="23">
        <v>34</v>
      </c>
      <c r="B86" s="24" t="s">
        <v>161</v>
      </c>
      <c r="C86" s="25" t="s">
        <v>162</v>
      </c>
      <c r="D86" s="7">
        <f>Compositions_Master!F41</f>
        <v>0</v>
      </c>
      <c r="E86" s="7">
        <f>Compositions_Master!G41</f>
        <v>0</v>
      </c>
      <c r="F86" s="7">
        <f>Compositions_Master!X41</f>
        <v>2.64</v>
      </c>
      <c r="G86" s="7">
        <f>Compositions_Master!Y41</f>
        <v>3.07</v>
      </c>
    </row>
    <row r="87" spans="1:7">
      <c r="A87" s="23">
        <v>35</v>
      </c>
      <c r="B87" s="24" t="s">
        <v>163</v>
      </c>
      <c r="C87" s="25" t="s">
        <v>164</v>
      </c>
      <c r="D87" s="7">
        <f>Compositions_Master!F42</f>
        <v>0</v>
      </c>
      <c r="E87" s="7">
        <f>Compositions_Master!G42</f>
        <v>0</v>
      </c>
      <c r="F87" s="7">
        <f>Compositions_Master!X42</f>
        <v>2.54</v>
      </c>
      <c r="G87" s="7">
        <f>Compositions_Master!Y42</f>
        <v>3.09</v>
      </c>
    </row>
    <row r="88" spans="1:7">
      <c r="A88" s="23">
        <v>36</v>
      </c>
      <c r="B88" s="24" t="s">
        <v>165</v>
      </c>
      <c r="C88" s="25" t="s">
        <v>166</v>
      </c>
      <c r="D88" s="7">
        <f>Compositions_Master!F43</f>
        <v>0</v>
      </c>
      <c r="E88" s="7">
        <f>Compositions_Master!G43</f>
        <v>0</v>
      </c>
      <c r="F88" s="7">
        <f>Compositions_Master!X43</f>
        <v>2.1800000000000002</v>
      </c>
      <c r="G88" s="7">
        <f>Compositions_Master!Y43</f>
        <v>2.78</v>
      </c>
    </row>
    <row r="89" spans="1:7">
      <c r="A89" s="23">
        <v>37</v>
      </c>
      <c r="B89" s="24" t="s">
        <v>167</v>
      </c>
      <c r="C89" s="25" t="s">
        <v>168</v>
      </c>
      <c r="D89" s="7">
        <f>Compositions_Master!F44</f>
        <v>0</v>
      </c>
      <c r="E89" s="7">
        <f>Compositions_Master!G44</f>
        <v>0</v>
      </c>
      <c r="F89" s="7">
        <f>Compositions_Master!X44</f>
        <v>1.95</v>
      </c>
      <c r="G89" s="7">
        <f>Compositions_Master!Y44</f>
        <v>2.63</v>
      </c>
    </row>
    <row r="90" spans="1:7">
      <c r="A90" s="23">
        <v>38</v>
      </c>
      <c r="B90" s="24" t="s">
        <v>169</v>
      </c>
      <c r="C90" s="25" t="s">
        <v>170</v>
      </c>
      <c r="D90" s="7">
        <f>Compositions_Master!F45</f>
        <v>0</v>
      </c>
      <c r="E90" s="7">
        <f>Compositions_Master!G45</f>
        <v>0</v>
      </c>
      <c r="F90" s="7">
        <f>Compositions_Master!X45</f>
        <v>1.7</v>
      </c>
      <c r="G90" s="7">
        <f>Compositions_Master!Y45</f>
        <v>2.4</v>
      </c>
    </row>
    <row r="91" spans="1:7">
      <c r="A91" s="23">
        <v>39</v>
      </c>
      <c r="B91" s="24" t="s">
        <v>171</v>
      </c>
      <c r="C91" s="25" t="s">
        <v>172</v>
      </c>
      <c r="D91" s="7">
        <f>Compositions_Master!F46</f>
        <v>0</v>
      </c>
      <c r="E91" s="7">
        <f>Compositions_Master!G46</f>
        <v>0</v>
      </c>
      <c r="F91" s="7">
        <f>Compositions_Master!X46</f>
        <v>1.51</v>
      </c>
      <c r="G91" s="7">
        <f>Compositions_Master!Y46</f>
        <v>2.2200000000000002</v>
      </c>
    </row>
    <row r="92" spans="1:7">
      <c r="A92" s="23">
        <v>40</v>
      </c>
      <c r="B92" s="24" t="s">
        <v>173</v>
      </c>
      <c r="C92" s="25" t="s">
        <v>174</v>
      </c>
      <c r="D92" s="7">
        <f>Compositions_Master!F47</f>
        <v>0</v>
      </c>
      <c r="E92" s="7">
        <f>Compositions_Master!G47</f>
        <v>0</v>
      </c>
      <c r="F92" s="7">
        <f>Compositions_Master!X47</f>
        <v>1.36</v>
      </c>
      <c r="G92" s="7">
        <f>Compositions_Master!Y47</f>
        <v>2.09</v>
      </c>
    </row>
    <row r="93" spans="1:7">
      <c r="A93" s="23">
        <v>41</v>
      </c>
      <c r="B93" s="24" t="s">
        <v>175</v>
      </c>
      <c r="C93" s="25" t="s">
        <v>176</v>
      </c>
      <c r="D93" s="7">
        <f>Compositions_Master!F48</f>
        <v>0</v>
      </c>
      <c r="E93" s="7">
        <f>Compositions_Master!G48</f>
        <v>0</v>
      </c>
      <c r="F93" s="7">
        <f>Compositions_Master!X48</f>
        <v>1.21</v>
      </c>
      <c r="G93" s="7">
        <f>Compositions_Master!Y48</f>
        <v>1.94</v>
      </c>
    </row>
    <row r="94" spans="1:7">
      <c r="A94" s="23">
        <v>42</v>
      </c>
      <c r="B94" s="24" t="s">
        <v>177</v>
      </c>
      <c r="C94" s="25" t="s">
        <v>178</v>
      </c>
      <c r="D94" s="7">
        <f>Compositions_Master!F49</f>
        <v>0</v>
      </c>
      <c r="E94" s="7">
        <f>Compositions_Master!G49</f>
        <v>0</v>
      </c>
      <c r="F94" s="7">
        <f>Compositions_Master!X49</f>
        <v>1.08</v>
      </c>
      <c r="G94" s="7">
        <f>Compositions_Master!Y49</f>
        <v>1.8</v>
      </c>
    </row>
    <row r="95" spans="1:7">
      <c r="A95" s="23">
        <v>43</v>
      </c>
      <c r="B95" s="24" t="s">
        <v>179</v>
      </c>
      <c r="C95" s="25" t="s">
        <v>180</v>
      </c>
      <c r="D95" s="7">
        <f>Compositions_Master!F50</f>
        <v>0</v>
      </c>
      <c r="E95" s="7">
        <f>Compositions_Master!G50</f>
        <v>0</v>
      </c>
      <c r="F95" s="7">
        <f>Compositions_Master!X50</f>
        <v>0.97</v>
      </c>
      <c r="G95" s="7">
        <f>Compositions_Master!Y50</f>
        <v>1.68</v>
      </c>
    </row>
    <row r="96" spans="1:7">
      <c r="A96" s="23">
        <v>44</v>
      </c>
      <c r="B96" s="24" t="s">
        <v>181</v>
      </c>
      <c r="C96" s="25" t="s">
        <v>182</v>
      </c>
      <c r="D96" s="7">
        <f>Compositions_Master!F51</f>
        <v>0</v>
      </c>
      <c r="E96" s="7">
        <f>Compositions_Master!G51</f>
        <v>0</v>
      </c>
      <c r="F96" s="7">
        <f>Compositions_Master!X51</f>
        <v>0.92</v>
      </c>
      <c r="G96" s="7">
        <f>Compositions_Master!Y51</f>
        <v>1.66</v>
      </c>
    </row>
    <row r="97" spans="1:13">
      <c r="A97" s="23">
        <v>45</v>
      </c>
      <c r="B97" s="24" t="s">
        <v>183</v>
      </c>
      <c r="C97" s="25" t="s">
        <v>184</v>
      </c>
      <c r="D97" s="7">
        <f>Compositions_Master!F52</f>
        <v>0</v>
      </c>
      <c r="E97" s="7">
        <f>Compositions_Master!G52</f>
        <v>0</v>
      </c>
      <c r="F97" s="7">
        <f>Compositions_Master!X52</f>
        <v>0.83</v>
      </c>
      <c r="G97" s="7">
        <f>Compositions_Master!Y52</f>
        <v>1.56</v>
      </c>
    </row>
    <row r="98" spans="1:13">
      <c r="A98" s="23">
        <v>46</v>
      </c>
      <c r="B98" s="24" t="s">
        <v>185</v>
      </c>
      <c r="C98" s="25" t="s">
        <v>186</v>
      </c>
      <c r="D98" s="7">
        <f>Compositions_Master!F53</f>
        <v>0</v>
      </c>
      <c r="E98" s="7">
        <f>Compositions_Master!G53</f>
        <v>0</v>
      </c>
      <c r="F98" s="7">
        <f>Compositions_Master!X53</f>
        <v>0.77</v>
      </c>
      <c r="G98" s="7">
        <f>Compositions_Master!Y53</f>
        <v>1.48</v>
      </c>
    </row>
    <row r="99" spans="1:13">
      <c r="A99" s="23">
        <v>47</v>
      </c>
      <c r="B99" s="24" t="s">
        <v>187</v>
      </c>
      <c r="C99" s="25" t="s">
        <v>188</v>
      </c>
      <c r="D99" s="7">
        <f>Compositions_Master!F54</f>
        <v>0</v>
      </c>
      <c r="E99" s="7">
        <f>Compositions_Master!G54</f>
        <v>0</v>
      </c>
      <c r="F99" s="7">
        <f>Compositions_Master!X54</f>
        <v>0.69</v>
      </c>
      <c r="G99" s="7">
        <f>Compositions_Master!Y54</f>
        <v>1.38</v>
      </c>
    </row>
    <row r="100" spans="1:13">
      <c r="A100" s="23">
        <v>48</v>
      </c>
      <c r="B100" s="24" t="s">
        <v>189</v>
      </c>
      <c r="C100" s="25" t="s">
        <v>190</v>
      </c>
      <c r="D100" s="7">
        <f>Compositions_Master!F55</f>
        <v>0</v>
      </c>
      <c r="E100" s="7">
        <f>Compositions_Master!G55</f>
        <v>0</v>
      </c>
      <c r="F100" s="7">
        <f>Compositions_Master!X55</f>
        <v>0.61</v>
      </c>
      <c r="G100" s="7">
        <f>Compositions_Master!Y55</f>
        <v>1.26</v>
      </c>
    </row>
    <row r="101" spans="1:13">
      <c r="A101" s="23">
        <v>49</v>
      </c>
      <c r="B101" s="24" t="s">
        <v>191</v>
      </c>
      <c r="C101" s="25" t="s">
        <v>192</v>
      </c>
      <c r="D101" s="7">
        <f>Compositions_Master!F56</f>
        <v>0</v>
      </c>
      <c r="E101" s="7">
        <f>Compositions_Master!G56</f>
        <v>0</v>
      </c>
      <c r="F101" s="7">
        <f>Compositions_Master!X56</f>
        <v>0.56000000000000005</v>
      </c>
      <c r="G101" s="7">
        <f>Compositions_Master!Y56</f>
        <v>1.19</v>
      </c>
    </row>
    <row r="102" spans="1:13">
      <c r="A102" s="23">
        <v>50</v>
      </c>
      <c r="B102" s="24" t="s">
        <v>193</v>
      </c>
      <c r="C102" s="25" t="s">
        <v>194</v>
      </c>
      <c r="D102" s="7">
        <f>Compositions_Master!F57</f>
        <v>0</v>
      </c>
      <c r="E102" s="7">
        <f>Compositions_Master!G57</f>
        <v>0</v>
      </c>
      <c r="F102" s="7">
        <f>Compositions_Master!X57</f>
        <v>0.53</v>
      </c>
      <c r="G102" s="7">
        <f>Compositions_Master!Y57</f>
        <v>1.1599999999999999</v>
      </c>
    </row>
    <row r="103" spans="1:13">
      <c r="A103" s="23">
        <v>51</v>
      </c>
      <c r="B103" s="24" t="s">
        <v>195</v>
      </c>
      <c r="C103" s="25" t="s">
        <v>196</v>
      </c>
      <c r="D103" s="7">
        <f>Compositions_Master!F58</f>
        <v>0</v>
      </c>
      <c r="E103" s="7">
        <f>Compositions_Master!G58</f>
        <v>0</v>
      </c>
      <c r="F103" s="7">
        <f>Compositions_Master!X58</f>
        <v>0.49</v>
      </c>
      <c r="G103" s="7">
        <f>Compositions_Master!Y58</f>
        <v>1.1000000000000001</v>
      </c>
    </row>
    <row r="104" spans="1:13">
      <c r="A104" s="23">
        <v>52</v>
      </c>
      <c r="B104" s="24" t="s">
        <v>197</v>
      </c>
      <c r="C104" s="25" t="s">
        <v>198</v>
      </c>
      <c r="D104" s="7">
        <f>Compositions_Master!F59</f>
        <v>0</v>
      </c>
      <c r="E104" s="7">
        <f>Compositions_Master!G59</f>
        <v>0</v>
      </c>
      <c r="F104" s="7">
        <f>Compositions_Master!X59</f>
        <v>5.94</v>
      </c>
      <c r="G104" s="7">
        <f>Compositions_Master!Y59</f>
        <v>17.420000000000002</v>
      </c>
    </row>
    <row r="105" spans="1:13">
      <c r="B105" s="28" t="s">
        <v>219</v>
      </c>
      <c r="D105" s="29">
        <f>SUM(D53:D104)</f>
        <v>0</v>
      </c>
      <c r="E105" s="29">
        <f>SUM(E53:E104)</f>
        <v>0</v>
      </c>
      <c r="F105" s="29">
        <f>SUM(F53:F104)</f>
        <v>100.00000000000001</v>
      </c>
      <c r="G105" s="29">
        <f>SUM(G53:G104)</f>
        <v>100</v>
      </c>
    </row>
    <row r="107" spans="1:13" ht="21.95" customHeight="1">
      <c r="A107" s="43" t="s">
        <v>346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spans="1:13">
      <c r="A108" s="16" t="s">
        <v>88</v>
      </c>
      <c r="B108" s="16" t="s">
        <v>89</v>
      </c>
      <c r="C108" s="16" t="s">
        <v>214</v>
      </c>
      <c r="D108" s="16" t="s">
        <v>347</v>
      </c>
      <c r="E108" s="16" t="s">
        <v>348</v>
      </c>
      <c r="F108" s="16" t="s">
        <v>349</v>
      </c>
      <c r="G108" s="16" t="s">
        <v>350</v>
      </c>
      <c r="H108" s="16" t="s">
        <v>351</v>
      </c>
      <c r="I108" s="16" t="s">
        <v>352</v>
      </c>
      <c r="J108" s="16" t="s">
        <v>353</v>
      </c>
      <c r="K108" s="16" t="s">
        <v>354</v>
      </c>
    </row>
    <row r="109" spans="1:13">
      <c r="C109" s="40" t="s">
        <v>213</v>
      </c>
      <c r="D109" s="41">
        <f>Compositions_Master!H6</f>
        <v>0</v>
      </c>
      <c r="E109" s="41">
        <f>Compositions_Master!J6</f>
        <v>0</v>
      </c>
      <c r="F109" s="41">
        <f>Compositions_Master!L6</f>
        <v>0</v>
      </c>
      <c r="G109" s="41">
        <f>Compositions_Master!N6</f>
        <v>0</v>
      </c>
      <c r="H109" s="41">
        <f>Compositions_Master!P6</f>
        <v>0</v>
      </c>
      <c r="I109" s="41">
        <f>Compositions_Master!R6</f>
        <v>0</v>
      </c>
      <c r="J109" s="41">
        <f>Compositions_Master!T6</f>
        <v>0</v>
      </c>
      <c r="K109" s="41">
        <f>Compositions_Master!V6</f>
        <v>0</v>
      </c>
    </row>
    <row r="110" spans="1:13">
      <c r="A110" s="23">
        <v>1</v>
      </c>
      <c r="B110" s="24" t="s">
        <v>97</v>
      </c>
      <c r="C110" s="25" t="s">
        <v>98</v>
      </c>
      <c r="D110" s="7">
        <f>Compositions_Master!H8</f>
        <v>0</v>
      </c>
      <c r="E110" s="7">
        <f>Compositions_Master!J8</f>
        <v>0</v>
      </c>
      <c r="F110" s="7">
        <f>Compositions_Master!L8</f>
        <v>0</v>
      </c>
      <c r="G110" s="7">
        <f>Compositions_Master!N8</f>
        <v>0</v>
      </c>
      <c r="H110" s="7">
        <f>Compositions_Master!P8</f>
        <v>0</v>
      </c>
      <c r="I110" s="7">
        <f>Compositions_Master!R8</f>
        <v>0</v>
      </c>
      <c r="J110" s="7">
        <f>Compositions_Master!T8</f>
        <v>0</v>
      </c>
      <c r="K110" s="7">
        <f>Compositions_Master!V8</f>
        <v>0</v>
      </c>
    </row>
    <row r="111" spans="1:13">
      <c r="A111" s="23">
        <v>2</v>
      </c>
      <c r="B111" s="24" t="s">
        <v>99</v>
      </c>
      <c r="C111" s="25" t="s">
        <v>100</v>
      </c>
      <c r="D111" s="7">
        <f>Compositions_Master!H9</f>
        <v>0</v>
      </c>
      <c r="E111" s="7">
        <f>Compositions_Master!J9</f>
        <v>0</v>
      </c>
      <c r="F111" s="7">
        <f>Compositions_Master!L9</f>
        <v>0</v>
      </c>
      <c r="G111" s="7">
        <f>Compositions_Master!N9</f>
        <v>0</v>
      </c>
      <c r="H111" s="7">
        <f>Compositions_Master!P9</f>
        <v>0</v>
      </c>
      <c r="I111" s="7">
        <f>Compositions_Master!R9</f>
        <v>0</v>
      </c>
      <c r="J111" s="7">
        <f>Compositions_Master!T9</f>
        <v>0</v>
      </c>
      <c r="K111" s="7">
        <f>Compositions_Master!V9</f>
        <v>0</v>
      </c>
    </row>
    <row r="112" spans="1:13">
      <c r="A112" s="23">
        <v>3</v>
      </c>
      <c r="B112" s="24" t="s">
        <v>101</v>
      </c>
      <c r="C112" s="25" t="s">
        <v>102</v>
      </c>
      <c r="D112" s="7">
        <f>Compositions_Master!H10</f>
        <v>4.0599999999999996</v>
      </c>
      <c r="E112" s="7">
        <f>Compositions_Master!J10</f>
        <v>4.2300000000000004</v>
      </c>
      <c r="F112" s="7">
        <f>Compositions_Master!L10</f>
        <v>4.4800000000000004</v>
      </c>
      <c r="G112" s="7">
        <f>Compositions_Master!N10</f>
        <v>4.68</v>
      </c>
      <c r="H112" s="7">
        <f>Compositions_Master!P10</f>
        <v>4.17</v>
      </c>
      <c r="I112" s="7">
        <f>Compositions_Master!R10</f>
        <v>1.054</v>
      </c>
      <c r="J112" s="7">
        <f>Compositions_Master!T10</f>
        <v>0</v>
      </c>
      <c r="K112" s="7">
        <f>Compositions_Master!V10</f>
        <v>0</v>
      </c>
    </row>
    <row r="113" spans="1:11">
      <c r="A113" s="23">
        <v>4</v>
      </c>
      <c r="B113" s="24" t="s">
        <v>103</v>
      </c>
      <c r="C113" s="25" t="s">
        <v>104</v>
      </c>
      <c r="D113" s="7">
        <f>Compositions_Master!H11</f>
        <v>1.6</v>
      </c>
      <c r="E113" s="7">
        <f>Compositions_Master!J11</f>
        <v>1.18</v>
      </c>
      <c r="F113" s="7">
        <f>Compositions_Master!L11</f>
        <v>0.76</v>
      </c>
      <c r="G113" s="7">
        <f>Compositions_Master!N11</f>
        <v>0.41</v>
      </c>
      <c r="H113" s="7">
        <f>Compositions_Master!P11</f>
        <v>0.1</v>
      </c>
      <c r="I113" s="7">
        <f>Compositions_Master!R11</f>
        <v>6.0000000000000001E-3</v>
      </c>
      <c r="J113" s="7">
        <f>Compositions_Master!T11</f>
        <v>0</v>
      </c>
      <c r="K113" s="7">
        <f>Compositions_Master!V11</f>
        <v>0</v>
      </c>
    </row>
    <row r="114" spans="1:11">
      <c r="A114" s="23">
        <v>5</v>
      </c>
      <c r="B114" s="24" t="s">
        <v>105</v>
      </c>
      <c r="C114" s="25" t="s">
        <v>106</v>
      </c>
      <c r="D114" s="7">
        <f>Compositions_Master!H12</f>
        <v>69.09</v>
      </c>
      <c r="E114" s="7">
        <f>Compositions_Master!J12</f>
        <v>66.36</v>
      </c>
      <c r="F114" s="7">
        <f>Compositions_Master!L12</f>
        <v>61.77</v>
      </c>
      <c r="G114" s="7">
        <f>Compositions_Master!N12</f>
        <v>53.03</v>
      </c>
      <c r="H114" s="7">
        <f>Compositions_Master!P12</f>
        <v>34.22</v>
      </c>
      <c r="I114" s="7">
        <f>Compositions_Master!R12</f>
        <v>5.4960000000000004</v>
      </c>
      <c r="J114" s="7">
        <f>Compositions_Master!T12</f>
        <v>0</v>
      </c>
      <c r="K114" s="7">
        <f>Compositions_Master!V12</f>
        <v>0</v>
      </c>
    </row>
    <row r="115" spans="1:11">
      <c r="A115" s="23">
        <v>6</v>
      </c>
      <c r="B115" s="24" t="s">
        <v>107</v>
      </c>
      <c r="C115" s="25" t="s">
        <v>108</v>
      </c>
      <c r="D115" s="7">
        <f>Compositions_Master!H13</f>
        <v>9.7100000000000009</v>
      </c>
      <c r="E115" s="7">
        <f>Compositions_Master!J13</f>
        <v>10.68</v>
      </c>
      <c r="F115" s="7">
        <f>Compositions_Master!L13</f>
        <v>12.2</v>
      </c>
      <c r="G115" s="7">
        <f>Compositions_Master!N13</f>
        <v>14.48</v>
      </c>
      <c r="H115" s="7">
        <f>Compositions_Master!P13</f>
        <v>17.02</v>
      </c>
      <c r="I115" s="7">
        <f>Compositions_Master!R13</f>
        <v>7.3879999999999999</v>
      </c>
      <c r="J115" s="7">
        <f>Compositions_Master!T13</f>
        <v>0</v>
      </c>
      <c r="K115" s="7">
        <f>Compositions_Master!V13</f>
        <v>0</v>
      </c>
    </row>
    <row r="116" spans="1:11">
      <c r="A116" s="23">
        <v>7</v>
      </c>
      <c r="B116" s="24" t="s">
        <v>109</v>
      </c>
      <c r="C116" s="25" t="s">
        <v>110</v>
      </c>
      <c r="D116" s="7">
        <f>Compositions_Master!H14</f>
        <v>6.71</v>
      </c>
      <c r="E116" s="7">
        <f>Compositions_Master!J14</f>
        <v>7.54</v>
      </c>
      <c r="F116" s="7">
        <f>Compositions_Master!L14</f>
        <v>9.02</v>
      </c>
      <c r="G116" s="7">
        <f>Compositions_Master!N14</f>
        <v>11.73</v>
      </c>
      <c r="H116" s="7">
        <f>Compositions_Master!P14</f>
        <v>17.329999999999998</v>
      </c>
      <c r="I116" s="7">
        <f>Compositions_Master!R14</f>
        <v>14.762</v>
      </c>
      <c r="J116" s="7">
        <f>Compositions_Master!T14</f>
        <v>0</v>
      </c>
      <c r="K116" s="7">
        <f>Compositions_Master!V14</f>
        <v>0</v>
      </c>
    </row>
    <row r="117" spans="1:11">
      <c r="A117" s="23">
        <v>8</v>
      </c>
      <c r="B117" s="24" t="s">
        <v>111</v>
      </c>
      <c r="C117" s="25" t="s">
        <v>112</v>
      </c>
      <c r="D117" s="7">
        <f>Compositions_Master!H15</f>
        <v>1.38</v>
      </c>
      <c r="E117" s="7">
        <f>Compositions_Master!J15</f>
        <v>1.57</v>
      </c>
      <c r="F117" s="7">
        <f>Compositions_Master!L15</f>
        <v>1.89</v>
      </c>
      <c r="G117" s="7">
        <f>Compositions_Master!N15</f>
        <v>2.52</v>
      </c>
      <c r="H117" s="7">
        <f>Compositions_Master!P15</f>
        <v>4.08</v>
      </c>
      <c r="I117" s="7">
        <f>Compositions_Master!R15</f>
        <v>5.4539999999999997</v>
      </c>
      <c r="J117" s="7">
        <f>Compositions_Master!T15</f>
        <v>0</v>
      </c>
      <c r="K117" s="7">
        <f>Compositions_Master!V15</f>
        <v>0</v>
      </c>
    </row>
    <row r="118" spans="1:11">
      <c r="A118" s="23">
        <v>9</v>
      </c>
      <c r="B118" s="24" t="s">
        <v>113</v>
      </c>
      <c r="C118" s="25" t="s">
        <v>114</v>
      </c>
      <c r="D118" s="7">
        <f>Compositions_Master!H16</f>
        <v>2.82</v>
      </c>
      <c r="E118" s="7">
        <f>Compositions_Master!J16</f>
        <v>3.19</v>
      </c>
      <c r="F118" s="7">
        <f>Compositions_Master!L16</f>
        <v>3.85</v>
      </c>
      <c r="G118" s="7">
        <f>Compositions_Master!N16</f>
        <v>5.18</v>
      </c>
      <c r="H118" s="7">
        <f>Compositions_Master!P16</f>
        <v>8.6999999999999993</v>
      </c>
      <c r="I118" s="7">
        <f>Compositions_Master!R16</f>
        <v>14.247999999999999</v>
      </c>
      <c r="J118" s="7">
        <f>Compositions_Master!T16</f>
        <v>0</v>
      </c>
      <c r="K118" s="7">
        <f>Compositions_Master!V16</f>
        <v>0</v>
      </c>
    </row>
    <row r="119" spans="1:11">
      <c r="A119" s="23">
        <v>10</v>
      </c>
      <c r="B119" s="24" t="s">
        <v>115</v>
      </c>
      <c r="C119" s="25" t="s">
        <v>116</v>
      </c>
      <c r="D119" s="7">
        <f>Compositions_Master!H17</f>
        <v>0.01</v>
      </c>
      <c r="E119" s="7">
        <f>Compositions_Master!J17</f>
        <v>0.01</v>
      </c>
      <c r="F119" s="7">
        <f>Compositions_Master!L17</f>
        <v>0.02</v>
      </c>
      <c r="G119" s="7">
        <f>Compositions_Master!N17</f>
        <v>0.02</v>
      </c>
      <c r="H119" s="7">
        <f>Compositions_Master!P17</f>
        <v>0.04</v>
      </c>
      <c r="I119" s="7">
        <f>Compositions_Master!R17</f>
        <v>6.6000000000000003E-2</v>
      </c>
      <c r="J119" s="7">
        <f>Compositions_Master!T17</f>
        <v>0</v>
      </c>
      <c r="K119" s="7">
        <f>Compositions_Master!V17</f>
        <v>0</v>
      </c>
    </row>
    <row r="120" spans="1:11">
      <c r="A120" s="23">
        <v>11</v>
      </c>
      <c r="B120" s="24" t="s">
        <v>117</v>
      </c>
      <c r="C120" s="25" t="s">
        <v>118</v>
      </c>
      <c r="D120" s="7">
        <f>Compositions_Master!H18</f>
        <v>0.98</v>
      </c>
      <c r="E120" s="7">
        <f>Compositions_Master!J18</f>
        <v>1.1200000000000001</v>
      </c>
      <c r="F120" s="7">
        <f>Compositions_Master!L18</f>
        <v>1.31</v>
      </c>
      <c r="G120" s="7">
        <f>Compositions_Master!N18</f>
        <v>1.81</v>
      </c>
      <c r="H120" s="7">
        <f>Compositions_Master!P18</f>
        <v>3.3</v>
      </c>
      <c r="I120" s="7">
        <f>Compositions_Master!R18</f>
        <v>9.3480000000000008</v>
      </c>
      <c r="J120" s="7">
        <f>Compositions_Master!T18</f>
        <v>0</v>
      </c>
      <c r="K120" s="7">
        <f>Compositions_Master!V18</f>
        <v>0</v>
      </c>
    </row>
    <row r="121" spans="1:11">
      <c r="A121" s="23">
        <v>12</v>
      </c>
      <c r="B121" s="24" t="s">
        <v>119</v>
      </c>
      <c r="C121" s="25" t="s">
        <v>120</v>
      </c>
      <c r="D121" s="7">
        <f>Compositions_Master!H19</f>
        <v>1.1399999999999999</v>
      </c>
      <c r="E121" s="7">
        <f>Compositions_Master!J19</f>
        <v>1.29</v>
      </c>
      <c r="F121" s="7">
        <f>Compositions_Master!L19</f>
        <v>1.52</v>
      </c>
      <c r="G121" s="7">
        <f>Compositions_Master!N19</f>
        <v>2.09</v>
      </c>
      <c r="H121" s="7">
        <f>Compositions_Master!P19</f>
        <v>3.83</v>
      </c>
      <c r="I121" s="7">
        <f>Compositions_Master!R19</f>
        <v>12.135999999999999</v>
      </c>
      <c r="J121" s="7">
        <f>Compositions_Master!T19</f>
        <v>0</v>
      </c>
      <c r="K121" s="7">
        <f>Compositions_Master!V19</f>
        <v>0</v>
      </c>
    </row>
    <row r="122" spans="1:11">
      <c r="A122" s="23">
        <v>13</v>
      </c>
      <c r="B122" s="24" t="s">
        <v>121</v>
      </c>
      <c r="C122" s="25" t="s">
        <v>122</v>
      </c>
      <c r="D122" s="7">
        <f>Compositions_Master!H20</f>
        <v>1.04</v>
      </c>
      <c r="E122" s="7">
        <f>Compositions_Master!J20</f>
        <v>1.1599999999999999</v>
      </c>
      <c r="F122" s="7">
        <f>Compositions_Master!L20</f>
        <v>1.35</v>
      </c>
      <c r="G122" s="7">
        <f>Compositions_Master!N20</f>
        <v>1.84</v>
      </c>
      <c r="H122" s="7">
        <f>Compositions_Master!P20</f>
        <v>3.38</v>
      </c>
      <c r="I122" s="7">
        <f>Compositions_Master!R20</f>
        <v>12.236000000000001</v>
      </c>
      <c r="J122" s="7">
        <f>Compositions_Master!T20</f>
        <v>0</v>
      </c>
      <c r="K122" s="7">
        <f>Compositions_Master!V20</f>
        <v>0</v>
      </c>
    </row>
    <row r="123" spans="1:11">
      <c r="A123" s="23">
        <v>14</v>
      </c>
      <c r="B123" s="24" t="s">
        <v>123</v>
      </c>
      <c r="C123" s="25" t="s">
        <v>124</v>
      </c>
      <c r="D123" s="7">
        <f>Compositions_Master!H21</f>
        <v>0.12</v>
      </c>
      <c r="E123" s="7">
        <f>Compositions_Master!J21</f>
        <v>0.13</v>
      </c>
      <c r="F123" s="7">
        <f>Compositions_Master!L21</f>
        <v>0.15</v>
      </c>
      <c r="G123" s="7">
        <f>Compositions_Master!N21</f>
        <v>0.2</v>
      </c>
      <c r="H123" s="7">
        <f>Compositions_Master!P21</f>
        <v>0.38</v>
      </c>
      <c r="I123" s="7">
        <f>Compositions_Master!R21</f>
        <v>1.55</v>
      </c>
      <c r="J123" s="7">
        <f>Compositions_Master!T21</f>
        <v>0</v>
      </c>
      <c r="K123" s="7">
        <f>Compositions_Master!V21</f>
        <v>0</v>
      </c>
    </row>
    <row r="124" spans="1:11">
      <c r="A124" s="23">
        <v>15</v>
      </c>
      <c r="B124" s="24" t="s">
        <v>125</v>
      </c>
      <c r="C124" s="25" t="s">
        <v>125</v>
      </c>
      <c r="D124" s="7">
        <f>Compositions_Master!H22</f>
        <v>0.03</v>
      </c>
      <c r="E124" s="7">
        <f>Compositions_Master!J22</f>
        <v>0.03</v>
      </c>
      <c r="F124" s="7">
        <f>Compositions_Master!L22</f>
        <v>0.04</v>
      </c>
      <c r="G124" s="7">
        <f>Compositions_Master!N22</f>
        <v>0.05</v>
      </c>
      <c r="H124" s="7">
        <f>Compositions_Master!P22</f>
        <v>0.1</v>
      </c>
      <c r="I124" s="7">
        <f>Compositions_Master!R22</f>
        <v>0.42199999999999999</v>
      </c>
      <c r="J124" s="7">
        <f>Compositions_Master!T22</f>
        <v>0</v>
      </c>
      <c r="K124" s="7">
        <f>Compositions_Master!V22</f>
        <v>0</v>
      </c>
    </row>
    <row r="125" spans="1:11">
      <c r="A125" s="23">
        <v>16</v>
      </c>
      <c r="B125" s="24" t="s">
        <v>126</v>
      </c>
      <c r="C125" s="25" t="s">
        <v>127</v>
      </c>
      <c r="D125" s="7">
        <f>Compositions_Master!H23</f>
        <v>0.16</v>
      </c>
      <c r="E125" s="7">
        <f>Compositions_Master!J23</f>
        <v>0.17</v>
      </c>
      <c r="F125" s="7">
        <f>Compositions_Master!L23</f>
        <v>0.2</v>
      </c>
      <c r="G125" s="7">
        <f>Compositions_Master!N23</f>
        <v>0.26</v>
      </c>
      <c r="H125" s="7">
        <f>Compositions_Master!P23</f>
        <v>0.49</v>
      </c>
      <c r="I125" s="7">
        <f>Compositions_Master!R23</f>
        <v>1.282</v>
      </c>
      <c r="J125" s="7">
        <f>Compositions_Master!T23</f>
        <v>0</v>
      </c>
      <c r="K125" s="7">
        <f>Compositions_Master!V23</f>
        <v>0</v>
      </c>
    </row>
    <row r="126" spans="1:11">
      <c r="A126" s="23">
        <v>17</v>
      </c>
      <c r="B126" s="24" t="s">
        <v>128</v>
      </c>
      <c r="C126" s="25" t="s">
        <v>129</v>
      </c>
      <c r="D126" s="7">
        <f>Compositions_Master!H24</f>
        <v>0.37</v>
      </c>
      <c r="E126" s="7">
        <f>Compositions_Master!J24</f>
        <v>0.43</v>
      </c>
      <c r="F126" s="7">
        <f>Compositions_Master!L24</f>
        <v>0.49</v>
      </c>
      <c r="G126" s="7">
        <f>Compositions_Master!N24</f>
        <v>0.63</v>
      </c>
      <c r="H126" s="7">
        <f>Compositions_Master!P24</f>
        <v>1.1499999999999999</v>
      </c>
      <c r="I126" s="7">
        <f>Compositions_Master!R24</f>
        <v>5.226</v>
      </c>
      <c r="J126" s="7">
        <f>Compositions_Master!T24</f>
        <v>0</v>
      </c>
      <c r="K126" s="7">
        <f>Compositions_Master!V24</f>
        <v>0</v>
      </c>
    </row>
    <row r="127" spans="1:11">
      <c r="A127" s="23">
        <v>18</v>
      </c>
      <c r="B127" s="24" t="s">
        <v>130</v>
      </c>
      <c r="C127" s="25" t="s">
        <v>131</v>
      </c>
      <c r="D127" s="7">
        <f>Compositions_Master!H25</f>
        <v>7.0000000000000007E-2</v>
      </c>
      <c r="E127" s="7">
        <f>Compositions_Master!J25</f>
        <v>0.08</v>
      </c>
      <c r="F127" s="7">
        <f>Compositions_Master!L25</f>
        <v>0.09</v>
      </c>
      <c r="G127" s="7">
        <f>Compositions_Master!N25</f>
        <v>0.12</v>
      </c>
      <c r="H127" s="7">
        <f>Compositions_Master!P25</f>
        <v>0.22</v>
      </c>
      <c r="I127" s="7">
        <f>Compositions_Master!R25</f>
        <v>0.93600000000000005</v>
      </c>
      <c r="J127" s="7">
        <f>Compositions_Master!T25</f>
        <v>0</v>
      </c>
      <c r="K127" s="7">
        <f>Compositions_Master!V25</f>
        <v>0</v>
      </c>
    </row>
    <row r="128" spans="1:11">
      <c r="A128" s="23">
        <v>19</v>
      </c>
      <c r="B128" s="24" t="s">
        <v>132</v>
      </c>
      <c r="C128" s="25" t="s">
        <v>132</v>
      </c>
      <c r="D128" s="7">
        <f>Compositions_Master!H26</f>
        <v>7.0000000000000007E-2</v>
      </c>
      <c r="E128" s="7">
        <f>Compositions_Master!J26</f>
        <v>7.0000000000000007E-2</v>
      </c>
      <c r="F128" s="7">
        <f>Compositions_Master!L26</f>
        <v>0.08</v>
      </c>
      <c r="G128" s="7">
        <f>Compositions_Master!N26</f>
        <v>0.1</v>
      </c>
      <c r="H128" s="7">
        <f>Compositions_Master!P26</f>
        <v>0.17</v>
      </c>
      <c r="I128" s="7">
        <f>Compositions_Master!R26</f>
        <v>0.65200000000000002</v>
      </c>
      <c r="J128" s="7">
        <f>Compositions_Master!T26</f>
        <v>0</v>
      </c>
      <c r="K128" s="7">
        <f>Compositions_Master!V26</f>
        <v>0</v>
      </c>
    </row>
    <row r="129" spans="1:11">
      <c r="A129" s="23">
        <v>20</v>
      </c>
      <c r="B129" s="24" t="s">
        <v>133</v>
      </c>
      <c r="C129" s="25" t="s">
        <v>134</v>
      </c>
      <c r="D129" s="7">
        <f>Compositions_Master!H27</f>
        <v>0.27</v>
      </c>
      <c r="E129" s="7">
        <f>Compositions_Master!J27</f>
        <v>0.28999999999999998</v>
      </c>
      <c r="F129" s="7">
        <f>Compositions_Master!L27</f>
        <v>0.32</v>
      </c>
      <c r="G129" s="7">
        <f>Compositions_Master!N27</f>
        <v>0.39</v>
      </c>
      <c r="H129" s="7">
        <f>Compositions_Master!P27</f>
        <v>0.67</v>
      </c>
      <c r="I129" s="7">
        <f>Compositions_Master!R27</f>
        <v>3.1419999999999999</v>
      </c>
      <c r="J129" s="7">
        <f>Compositions_Master!T27</f>
        <v>0</v>
      </c>
      <c r="K129" s="7">
        <f>Compositions_Master!V27</f>
        <v>0</v>
      </c>
    </row>
    <row r="130" spans="1:11">
      <c r="A130" s="23">
        <v>21</v>
      </c>
      <c r="B130" s="24" t="s">
        <v>135</v>
      </c>
      <c r="C130" s="25" t="s">
        <v>136</v>
      </c>
      <c r="D130" s="7">
        <f>Compositions_Master!H28</f>
        <v>0.02</v>
      </c>
      <c r="E130" s="7">
        <f>Compositions_Master!J28</f>
        <v>0.03</v>
      </c>
      <c r="F130" s="7">
        <f>Compositions_Master!L28</f>
        <v>0.03</v>
      </c>
      <c r="G130" s="7">
        <f>Compositions_Master!N28</f>
        <v>0.03</v>
      </c>
      <c r="H130" s="7">
        <f>Compositions_Master!P28</f>
        <v>0.05</v>
      </c>
      <c r="I130" s="7">
        <f>Compositions_Master!R28</f>
        <v>0.222</v>
      </c>
      <c r="J130" s="7">
        <f>Compositions_Master!T28</f>
        <v>0</v>
      </c>
      <c r="K130" s="7">
        <f>Compositions_Master!V28</f>
        <v>0</v>
      </c>
    </row>
    <row r="131" spans="1:11">
      <c r="A131" s="23">
        <v>22</v>
      </c>
      <c r="B131" s="24" t="s">
        <v>137</v>
      </c>
      <c r="C131" s="25" t="s">
        <v>138</v>
      </c>
      <c r="D131" s="7">
        <f>Compositions_Master!H29</f>
        <v>0.03</v>
      </c>
      <c r="E131" s="7">
        <f>Compositions_Master!J29</f>
        <v>0.03</v>
      </c>
      <c r="F131" s="7">
        <f>Compositions_Master!L29</f>
        <v>0.03</v>
      </c>
      <c r="G131" s="7">
        <f>Compositions_Master!N29</f>
        <v>0.04</v>
      </c>
      <c r="H131" s="7">
        <f>Compositions_Master!P29</f>
        <v>0.06</v>
      </c>
      <c r="I131" s="7">
        <f>Compositions_Master!R29</f>
        <v>0.38800000000000001</v>
      </c>
      <c r="J131" s="7">
        <f>Compositions_Master!T29</f>
        <v>0</v>
      </c>
      <c r="K131" s="7">
        <f>Compositions_Master!V29</f>
        <v>0</v>
      </c>
    </row>
    <row r="132" spans="1:11">
      <c r="A132" s="23">
        <v>23</v>
      </c>
      <c r="B132" s="24" t="s">
        <v>139</v>
      </c>
      <c r="C132" s="25" t="s">
        <v>140</v>
      </c>
      <c r="D132" s="7">
        <f>Compositions_Master!H30</f>
        <v>0.02</v>
      </c>
      <c r="E132" s="7">
        <f>Compositions_Master!J30</f>
        <v>0.02</v>
      </c>
      <c r="F132" s="7">
        <f>Compositions_Master!L30</f>
        <v>0.02</v>
      </c>
      <c r="G132" s="7">
        <f>Compositions_Master!N30</f>
        <v>0.02</v>
      </c>
      <c r="H132" s="7">
        <f>Compositions_Master!P30</f>
        <v>0.03</v>
      </c>
      <c r="I132" s="7">
        <f>Compositions_Master!R30</f>
        <v>0.16600000000000001</v>
      </c>
      <c r="J132" s="7">
        <f>Compositions_Master!T30</f>
        <v>0</v>
      </c>
      <c r="K132" s="7">
        <f>Compositions_Master!V30</f>
        <v>0</v>
      </c>
    </row>
    <row r="133" spans="1:11">
      <c r="A133" s="23">
        <v>24</v>
      </c>
      <c r="B133" s="24" t="s">
        <v>141</v>
      </c>
      <c r="C133" s="25" t="s">
        <v>142</v>
      </c>
      <c r="D133" s="7">
        <f>Compositions_Master!H31</f>
        <v>0.17</v>
      </c>
      <c r="E133" s="7">
        <f>Compositions_Master!J31</f>
        <v>0.2</v>
      </c>
      <c r="F133" s="7">
        <f>Compositions_Master!L31</f>
        <v>0.2</v>
      </c>
      <c r="G133" s="7">
        <f>Compositions_Master!N31</f>
        <v>0.23</v>
      </c>
      <c r="H133" s="7">
        <f>Compositions_Master!P31</f>
        <v>0.34</v>
      </c>
      <c r="I133" s="7">
        <f>Compositions_Master!R31</f>
        <v>1.6</v>
      </c>
      <c r="J133" s="7">
        <f>Compositions_Master!T31</f>
        <v>0</v>
      </c>
      <c r="K133" s="7">
        <f>Compositions_Master!V31</f>
        <v>0</v>
      </c>
    </row>
    <row r="134" spans="1:11">
      <c r="A134" s="23">
        <v>25</v>
      </c>
      <c r="B134" s="24" t="s">
        <v>143</v>
      </c>
      <c r="C134" s="25" t="s">
        <v>144</v>
      </c>
      <c r="D134" s="7">
        <f>Compositions_Master!H32</f>
        <v>0</v>
      </c>
      <c r="E134" s="7">
        <f>Compositions_Master!J32</f>
        <v>0</v>
      </c>
      <c r="F134" s="7">
        <f>Compositions_Master!L32</f>
        <v>0</v>
      </c>
      <c r="G134" s="7">
        <f>Compositions_Master!N32</f>
        <v>0</v>
      </c>
      <c r="H134" s="7">
        <f>Compositions_Master!P32</f>
        <v>0</v>
      </c>
      <c r="I134" s="7">
        <f>Compositions_Master!R32</f>
        <v>0.1</v>
      </c>
      <c r="J134" s="7">
        <f>Compositions_Master!T32</f>
        <v>0</v>
      </c>
      <c r="K134" s="7">
        <f>Compositions_Master!V32</f>
        <v>0</v>
      </c>
    </row>
    <row r="135" spans="1:11">
      <c r="A135" s="23">
        <v>26</v>
      </c>
      <c r="B135" s="24" t="s">
        <v>145</v>
      </c>
      <c r="C135" s="25" t="s">
        <v>146</v>
      </c>
      <c r="D135" s="7">
        <f>Compositions_Master!H33</f>
        <v>0.09</v>
      </c>
      <c r="E135" s="7">
        <f>Compositions_Master!J33</f>
        <v>0.11</v>
      </c>
      <c r="F135" s="7">
        <f>Compositions_Master!L33</f>
        <v>0.11</v>
      </c>
      <c r="G135" s="7">
        <f>Compositions_Master!N33</f>
        <v>0.1</v>
      </c>
      <c r="H135" s="7">
        <f>Compositions_Master!P33</f>
        <v>0.12</v>
      </c>
      <c r="I135" s="7">
        <f>Compositions_Master!R33</f>
        <v>1.056</v>
      </c>
      <c r="J135" s="7">
        <f>Compositions_Master!T33</f>
        <v>0</v>
      </c>
      <c r="K135" s="7">
        <f>Compositions_Master!V33</f>
        <v>0</v>
      </c>
    </row>
    <row r="136" spans="1:11">
      <c r="A136" s="23">
        <v>27</v>
      </c>
      <c r="B136" s="24" t="s">
        <v>147</v>
      </c>
      <c r="C136" s="25" t="s">
        <v>148</v>
      </c>
      <c r="D136" s="7">
        <f>Compositions_Master!H34</f>
        <v>0.04</v>
      </c>
      <c r="E136" s="7">
        <f>Compositions_Master!J34</f>
        <v>0.08</v>
      </c>
      <c r="F136" s="7">
        <f>Compositions_Master!L34</f>
        <v>7.0000000000000007E-2</v>
      </c>
      <c r="G136" s="7">
        <f>Compositions_Master!N34</f>
        <v>0.04</v>
      </c>
      <c r="H136" s="7">
        <f>Compositions_Master!P34</f>
        <v>0.05</v>
      </c>
      <c r="I136" s="7">
        <f>Compositions_Master!R34</f>
        <v>1.0640000000000001</v>
      </c>
      <c r="J136" s="7">
        <f>Compositions_Master!T34</f>
        <v>0</v>
      </c>
      <c r="K136" s="7">
        <f>Compositions_Master!V34</f>
        <v>0</v>
      </c>
    </row>
    <row r="137" spans="1:11">
      <c r="A137" s="23">
        <v>28</v>
      </c>
      <c r="B137" s="24" t="s">
        <v>149</v>
      </c>
      <c r="C137" s="25" t="s">
        <v>150</v>
      </c>
      <c r="D137" s="7">
        <f>Compositions_Master!H35</f>
        <v>0</v>
      </c>
      <c r="E137" s="7">
        <f>Compositions_Master!J35</f>
        <v>0</v>
      </c>
      <c r="F137" s="7">
        <f>Compositions_Master!L35</f>
        <v>0</v>
      </c>
      <c r="G137" s="7">
        <f>Compositions_Master!N35</f>
        <v>0</v>
      </c>
      <c r="H137" s="7">
        <f>Compositions_Master!P35</f>
        <v>0</v>
      </c>
      <c r="I137" s="7">
        <f>Compositions_Master!R35</f>
        <v>0</v>
      </c>
      <c r="J137" s="7">
        <f>Compositions_Master!T35</f>
        <v>0</v>
      </c>
      <c r="K137" s="7">
        <f>Compositions_Master!V35</f>
        <v>0</v>
      </c>
    </row>
    <row r="138" spans="1:11">
      <c r="A138" s="23">
        <v>29</v>
      </c>
      <c r="B138" s="24" t="s">
        <v>151</v>
      </c>
      <c r="C138" s="25" t="s">
        <v>152</v>
      </c>
      <c r="D138" s="7">
        <f>Compositions_Master!H36</f>
        <v>0</v>
      </c>
      <c r="E138" s="7">
        <f>Compositions_Master!J36</f>
        <v>0</v>
      </c>
      <c r="F138" s="7">
        <f>Compositions_Master!L36</f>
        <v>0</v>
      </c>
      <c r="G138" s="7">
        <f>Compositions_Master!N36</f>
        <v>0</v>
      </c>
      <c r="H138" s="7">
        <f>Compositions_Master!P36</f>
        <v>0</v>
      </c>
      <c r="I138" s="7">
        <f>Compositions_Master!R36</f>
        <v>0</v>
      </c>
      <c r="J138" s="7">
        <f>Compositions_Master!T36</f>
        <v>0</v>
      </c>
      <c r="K138" s="7">
        <f>Compositions_Master!V36</f>
        <v>0</v>
      </c>
    </row>
    <row r="139" spans="1:11">
      <c r="A139" s="23">
        <v>30</v>
      </c>
      <c r="B139" s="24" t="s">
        <v>153</v>
      </c>
      <c r="C139" s="25" t="s">
        <v>154</v>
      </c>
      <c r="D139" s="7">
        <f>Compositions_Master!H37</f>
        <v>0</v>
      </c>
      <c r="E139" s="7">
        <f>Compositions_Master!J37</f>
        <v>0</v>
      </c>
      <c r="F139" s="7">
        <f>Compositions_Master!L37</f>
        <v>0</v>
      </c>
      <c r="G139" s="7">
        <f>Compositions_Master!N37</f>
        <v>0</v>
      </c>
      <c r="H139" s="7">
        <f>Compositions_Master!P37</f>
        <v>0</v>
      </c>
      <c r="I139" s="7">
        <f>Compositions_Master!R37</f>
        <v>0</v>
      </c>
      <c r="J139" s="7">
        <f>Compositions_Master!T37</f>
        <v>0</v>
      </c>
      <c r="K139" s="7">
        <f>Compositions_Master!V37</f>
        <v>0</v>
      </c>
    </row>
    <row r="140" spans="1:11">
      <c r="A140" s="23">
        <v>31</v>
      </c>
      <c r="B140" s="24" t="s">
        <v>155</v>
      </c>
      <c r="C140" s="25" t="s">
        <v>156</v>
      </c>
      <c r="D140" s="7">
        <f>Compositions_Master!H38</f>
        <v>0</v>
      </c>
      <c r="E140" s="7">
        <f>Compositions_Master!J38</f>
        <v>0</v>
      </c>
      <c r="F140" s="7">
        <f>Compositions_Master!L38</f>
        <v>0</v>
      </c>
      <c r="G140" s="7">
        <f>Compositions_Master!N38</f>
        <v>0</v>
      </c>
      <c r="H140" s="7">
        <f>Compositions_Master!P38</f>
        <v>0</v>
      </c>
      <c r="I140" s="7">
        <f>Compositions_Master!R38</f>
        <v>0</v>
      </c>
      <c r="J140" s="7">
        <f>Compositions_Master!T38</f>
        <v>0</v>
      </c>
      <c r="K140" s="7">
        <f>Compositions_Master!V38</f>
        <v>0</v>
      </c>
    </row>
    <row r="141" spans="1:11">
      <c r="A141" s="23">
        <v>32</v>
      </c>
      <c r="B141" s="24" t="s">
        <v>157</v>
      </c>
      <c r="C141" s="25" t="s">
        <v>158</v>
      </c>
      <c r="D141" s="7">
        <f>Compositions_Master!H39</f>
        <v>0</v>
      </c>
      <c r="E141" s="7">
        <f>Compositions_Master!J39</f>
        <v>0</v>
      </c>
      <c r="F141" s="7">
        <f>Compositions_Master!L39</f>
        <v>0</v>
      </c>
      <c r="G141" s="7">
        <f>Compositions_Master!N39</f>
        <v>0</v>
      </c>
      <c r="H141" s="7">
        <f>Compositions_Master!P39</f>
        <v>0</v>
      </c>
      <c r="I141" s="7">
        <f>Compositions_Master!R39</f>
        <v>0</v>
      </c>
      <c r="J141" s="7">
        <f>Compositions_Master!T39</f>
        <v>0</v>
      </c>
      <c r="K141" s="7">
        <f>Compositions_Master!V39</f>
        <v>0</v>
      </c>
    </row>
    <row r="142" spans="1:11">
      <c r="A142" s="23">
        <v>33</v>
      </c>
      <c r="B142" s="24" t="s">
        <v>159</v>
      </c>
      <c r="C142" s="25" t="s">
        <v>160</v>
      </c>
      <c r="D142" s="7">
        <f>Compositions_Master!H40</f>
        <v>0</v>
      </c>
      <c r="E142" s="7">
        <f>Compositions_Master!J40</f>
        <v>0</v>
      </c>
      <c r="F142" s="7">
        <f>Compositions_Master!L40</f>
        <v>0</v>
      </c>
      <c r="G142" s="7">
        <f>Compositions_Master!N40</f>
        <v>0</v>
      </c>
      <c r="H142" s="7">
        <f>Compositions_Master!P40</f>
        <v>0</v>
      </c>
      <c r="I142" s="7">
        <f>Compositions_Master!R40</f>
        <v>0</v>
      </c>
      <c r="J142" s="7">
        <f>Compositions_Master!T40</f>
        <v>0</v>
      </c>
      <c r="K142" s="7">
        <f>Compositions_Master!V40</f>
        <v>0</v>
      </c>
    </row>
    <row r="143" spans="1:11">
      <c r="A143" s="23">
        <v>34</v>
      </c>
      <c r="B143" s="24" t="s">
        <v>161</v>
      </c>
      <c r="C143" s="25" t="s">
        <v>162</v>
      </c>
      <c r="D143" s="7">
        <f>Compositions_Master!H41</f>
        <v>0</v>
      </c>
      <c r="E143" s="7">
        <f>Compositions_Master!J41</f>
        <v>0</v>
      </c>
      <c r="F143" s="7">
        <f>Compositions_Master!L41</f>
        <v>0</v>
      </c>
      <c r="G143" s="7">
        <f>Compositions_Master!N41</f>
        <v>0</v>
      </c>
      <c r="H143" s="7">
        <f>Compositions_Master!P41</f>
        <v>0</v>
      </c>
      <c r="I143" s="7">
        <f>Compositions_Master!R41</f>
        <v>0</v>
      </c>
      <c r="J143" s="7">
        <f>Compositions_Master!T41</f>
        <v>0</v>
      </c>
      <c r="K143" s="7">
        <f>Compositions_Master!V41</f>
        <v>0</v>
      </c>
    </row>
    <row r="144" spans="1:11">
      <c r="A144" s="23">
        <v>35</v>
      </c>
      <c r="B144" s="24" t="s">
        <v>163</v>
      </c>
      <c r="C144" s="25" t="s">
        <v>164</v>
      </c>
      <c r="D144" s="7">
        <f>Compositions_Master!H42</f>
        <v>0</v>
      </c>
      <c r="E144" s="7">
        <f>Compositions_Master!J42</f>
        <v>0</v>
      </c>
      <c r="F144" s="7">
        <f>Compositions_Master!L42</f>
        <v>0</v>
      </c>
      <c r="G144" s="7">
        <f>Compositions_Master!N42</f>
        <v>0</v>
      </c>
      <c r="H144" s="7">
        <f>Compositions_Master!P42</f>
        <v>0</v>
      </c>
      <c r="I144" s="7">
        <f>Compositions_Master!R42</f>
        <v>0</v>
      </c>
      <c r="J144" s="7">
        <f>Compositions_Master!T42</f>
        <v>0</v>
      </c>
      <c r="K144" s="7">
        <f>Compositions_Master!V42</f>
        <v>0</v>
      </c>
    </row>
    <row r="145" spans="1:11">
      <c r="A145" s="23">
        <v>36</v>
      </c>
      <c r="B145" s="24" t="s">
        <v>165</v>
      </c>
      <c r="C145" s="25" t="s">
        <v>166</v>
      </c>
      <c r="D145" s="7">
        <f>Compositions_Master!H43</f>
        <v>0</v>
      </c>
      <c r="E145" s="7">
        <f>Compositions_Master!J43</f>
        <v>0</v>
      </c>
      <c r="F145" s="7">
        <f>Compositions_Master!L43</f>
        <v>0</v>
      </c>
      <c r="G145" s="7">
        <f>Compositions_Master!N43</f>
        <v>0</v>
      </c>
      <c r="H145" s="7">
        <f>Compositions_Master!P43</f>
        <v>0</v>
      </c>
      <c r="I145" s="7">
        <f>Compositions_Master!R43</f>
        <v>0</v>
      </c>
      <c r="J145" s="7">
        <f>Compositions_Master!T43</f>
        <v>0</v>
      </c>
      <c r="K145" s="7">
        <f>Compositions_Master!V43</f>
        <v>0</v>
      </c>
    </row>
    <row r="146" spans="1:11">
      <c r="A146" s="23">
        <v>37</v>
      </c>
      <c r="B146" s="24" t="s">
        <v>167</v>
      </c>
      <c r="C146" s="25" t="s">
        <v>168</v>
      </c>
      <c r="D146" s="7">
        <f>Compositions_Master!H44</f>
        <v>0</v>
      </c>
      <c r="E146" s="7">
        <f>Compositions_Master!J44</f>
        <v>0</v>
      </c>
      <c r="F146" s="7">
        <f>Compositions_Master!L44</f>
        <v>0</v>
      </c>
      <c r="G146" s="7">
        <f>Compositions_Master!N44</f>
        <v>0</v>
      </c>
      <c r="H146" s="7">
        <f>Compositions_Master!P44</f>
        <v>0</v>
      </c>
      <c r="I146" s="7">
        <f>Compositions_Master!R44</f>
        <v>0</v>
      </c>
      <c r="J146" s="7">
        <f>Compositions_Master!T44</f>
        <v>0</v>
      </c>
      <c r="K146" s="7">
        <f>Compositions_Master!V44</f>
        <v>0</v>
      </c>
    </row>
    <row r="147" spans="1:11">
      <c r="A147" s="23">
        <v>38</v>
      </c>
      <c r="B147" s="24" t="s">
        <v>169</v>
      </c>
      <c r="C147" s="25" t="s">
        <v>170</v>
      </c>
      <c r="D147" s="7">
        <f>Compositions_Master!H45</f>
        <v>0</v>
      </c>
      <c r="E147" s="7">
        <f>Compositions_Master!J45</f>
        <v>0</v>
      </c>
      <c r="F147" s="7">
        <f>Compositions_Master!L45</f>
        <v>0</v>
      </c>
      <c r="G147" s="7">
        <f>Compositions_Master!N45</f>
        <v>0</v>
      </c>
      <c r="H147" s="7">
        <f>Compositions_Master!P45</f>
        <v>0</v>
      </c>
      <c r="I147" s="7">
        <f>Compositions_Master!R45</f>
        <v>0</v>
      </c>
      <c r="J147" s="7">
        <f>Compositions_Master!T45</f>
        <v>0</v>
      </c>
      <c r="K147" s="7">
        <f>Compositions_Master!V45</f>
        <v>0</v>
      </c>
    </row>
    <row r="148" spans="1:11">
      <c r="A148" s="23">
        <v>39</v>
      </c>
      <c r="B148" s="24" t="s">
        <v>171</v>
      </c>
      <c r="C148" s="25" t="s">
        <v>172</v>
      </c>
      <c r="D148" s="7">
        <f>Compositions_Master!H46</f>
        <v>0</v>
      </c>
      <c r="E148" s="7">
        <f>Compositions_Master!J46</f>
        <v>0</v>
      </c>
      <c r="F148" s="7">
        <f>Compositions_Master!L46</f>
        <v>0</v>
      </c>
      <c r="G148" s="7">
        <f>Compositions_Master!N46</f>
        <v>0</v>
      </c>
      <c r="H148" s="7">
        <f>Compositions_Master!P46</f>
        <v>0</v>
      </c>
      <c r="I148" s="7">
        <f>Compositions_Master!R46</f>
        <v>0</v>
      </c>
      <c r="J148" s="7">
        <f>Compositions_Master!T46</f>
        <v>0</v>
      </c>
      <c r="K148" s="7">
        <f>Compositions_Master!V46</f>
        <v>0</v>
      </c>
    </row>
    <row r="149" spans="1:11">
      <c r="A149" s="23">
        <v>40</v>
      </c>
      <c r="B149" s="24" t="s">
        <v>173</v>
      </c>
      <c r="C149" s="25" t="s">
        <v>174</v>
      </c>
      <c r="D149" s="7">
        <f>Compositions_Master!H47</f>
        <v>0</v>
      </c>
      <c r="E149" s="7">
        <f>Compositions_Master!J47</f>
        <v>0</v>
      </c>
      <c r="F149" s="7">
        <f>Compositions_Master!L47</f>
        <v>0</v>
      </c>
      <c r="G149" s="7">
        <f>Compositions_Master!N47</f>
        <v>0</v>
      </c>
      <c r="H149" s="7">
        <f>Compositions_Master!P47</f>
        <v>0</v>
      </c>
      <c r="I149" s="7">
        <f>Compositions_Master!R47</f>
        <v>0</v>
      </c>
      <c r="J149" s="7">
        <f>Compositions_Master!T47</f>
        <v>0</v>
      </c>
      <c r="K149" s="7">
        <f>Compositions_Master!V47</f>
        <v>0</v>
      </c>
    </row>
    <row r="150" spans="1:11">
      <c r="A150" s="23">
        <v>41</v>
      </c>
      <c r="B150" s="24" t="s">
        <v>175</v>
      </c>
      <c r="C150" s="25" t="s">
        <v>176</v>
      </c>
      <c r="D150" s="7">
        <f>Compositions_Master!H48</f>
        <v>0</v>
      </c>
      <c r="E150" s="7">
        <f>Compositions_Master!J48</f>
        <v>0</v>
      </c>
      <c r="F150" s="7">
        <f>Compositions_Master!L48</f>
        <v>0</v>
      </c>
      <c r="G150" s="7">
        <f>Compositions_Master!N48</f>
        <v>0</v>
      </c>
      <c r="H150" s="7">
        <f>Compositions_Master!P48</f>
        <v>0</v>
      </c>
      <c r="I150" s="7">
        <f>Compositions_Master!R48</f>
        <v>0</v>
      </c>
      <c r="J150" s="7">
        <f>Compositions_Master!T48</f>
        <v>0</v>
      </c>
      <c r="K150" s="7">
        <f>Compositions_Master!V48</f>
        <v>0</v>
      </c>
    </row>
    <row r="151" spans="1:11">
      <c r="A151" s="23">
        <v>42</v>
      </c>
      <c r="B151" s="24" t="s">
        <v>177</v>
      </c>
      <c r="C151" s="25" t="s">
        <v>178</v>
      </c>
      <c r="D151" s="7">
        <f>Compositions_Master!H49</f>
        <v>0</v>
      </c>
      <c r="E151" s="7">
        <f>Compositions_Master!J49</f>
        <v>0</v>
      </c>
      <c r="F151" s="7">
        <f>Compositions_Master!L49</f>
        <v>0</v>
      </c>
      <c r="G151" s="7">
        <f>Compositions_Master!N49</f>
        <v>0</v>
      </c>
      <c r="H151" s="7">
        <f>Compositions_Master!P49</f>
        <v>0</v>
      </c>
      <c r="I151" s="7">
        <f>Compositions_Master!R49</f>
        <v>0</v>
      </c>
      <c r="J151" s="7">
        <f>Compositions_Master!T49</f>
        <v>0</v>
      </c>
      <c r="K151" s="7">
        <f>Compositions_Master!V49</f>
        <v>0</v>
      </c>
    </row>
    <row r="152" spans="1:11">
      <c r="A152" s="23">
        <v>43</v>
      </c>
      <c r="B152" s="24" t="s">
        <v>179</v>
      </c>
      <c r="C152" s="25" t="s">
        <v>180</v>
      </c>
      <c r="D152" s="7">
        <f>Compositions_Master!H50</f>
        <v>0</v>
      </c>
      <c r="E152" s="7">
        <f>Compositions_Master!J50</f>
        <v>0</v>
      </c>
      <c r="F152" s="7">
        <f>Compositions_Master!L50</f>
        <v>0</v>
      </c>
      <c r="G152" s="7">
        <f>Compositions_Master!N50</f>
        <v>0</v>
      </c>
      <c r="H152" s="7">
        <f>Compositions_Master!P50</f>
        <v>0</v>
      </c>
      <c r="I152" s="7">
        <f>Compositions_Master!R50</f>
        <v>0</v>
      </c>
      <c r="J152" s="7">
        <f>Compositions_Master!T50</f>
        <v>0</v>
      </c>
      <c r="K152" s="7">
        <f>Compositions_Master!V50</f>
        <v>0</v>
      </c>
    </row>
    <row r="153" spans="1:11">
      <c r="A153" s="23">
        <v>44</v>
      </c>
      <c r="B153" s="24" t="s">
        <v>181</v>
      </c>
      <c r="C153" s="25" t="s">
        <v>182</v>
      </c>
      <c r="D153" s="7">
        <f>Compositions_Master!H51</f>
        <v>0</v>
      </c>
      <c r="E153" s="7">
        <f>Compositions_Master!J51</f>
        <v>0</v>
      </c>
      <c r="F153" s="7">
        <f>Compositions_Master!L51</f>
        <v>0</v>
      </c>
      <c r="G153" s="7">
        <f>Compositions_Master!N51</f>
        <v>0</v>
      </c>
      <c r="H153" s="7">
        <f>Compositions_Master!P51</f>
        <v>0</v>
      </c>
      <c r="I153" s="7">
        <f>Compositions_Master!R51</f>
        <v>0</v>
      </c>
      <c r="J153" s="7">
        <f>Compositions_Master!T51</f>
        <v>0</v>
      </c>
      <c r="K153" s="7">
        <f>Compositions_Master!V51</f>
        <v>0</v>
      </c>
    </row>
    <row r="154" spans="1:11">
      <c r="A154" s="23">
        <v>45</v>
      </c>
      <c r="B154" s="24" t="s">
        <v>183</v>
      </c>
      <c r="C154" s="25" t="s">
        <v>184</v>
      </c>
      <c r="D154" s="7">
        <f>Compositions_Master!H52</f>
        <v>0</v>
      </c>
      <c r="E154" s="7">
        <f>Compositions_Master!J52</f>
        <v>0</v>
      </c>
      <c r="F154" s="7">
        <f>Compositions_Master!L52</f>
        <v>0</v>
      </c>
      <c r="G154" s="7">
        <f>Compositions_Master!N52</f>
        <v>0</v>
      </c>
      <c r="H154" s="7">
        <f>Compositions_Master!P52</f>
        <v>0</v>
      </c>
      <c r="I154" s="7">
        <f>Compositions_Master!R52</f>
        <v>0</v>
      </c>
      <c r="J154" s="7">
        <f>Compositions_Master!T52</f>
        <v>0</v>
      </c>
      <c r="K154" s="7">
        <f>Compositions_Master!V52</f>
        <v>0</v>
      </c>
    </row>
    <row r="155" spans="1:11">
      <c r="A155" s="23">
        <v>46</v>
      </c>
      <c r="B155" s="24" t="s">
        <v>185</v>
      </c>
      <c r="C155" s="25" t="s">
        <v>186</v>
      </c>
      <c r="D155" s="7">
        <f>Compositions_Master!H53</f>
        <v>0</v>
      </c>
      <c r="E155" s="7">
        <f>Compositions_Master!J53</f>
        <v>0</v>
      </c>
      <c r="F155" s="7">
        <f>Compositions_Master!L53</f>
        <v>0</v>
      </c>
      <c r="G155" s="7">
        <f>Compositions_Master!N53</f>
        <v>0</v>
      </c>
      <c r="H155" s="7">
        <f>Compositions_Master!P53</f>
        <v>0</v>
      </c>
      <c r="I155" s="7">
        <f>Compositions_Master!R53</f>
        <v>0</v>
      </c>
      <c r="J155" s="7">
        <f>Compositions_Master!T53</f>
        <v>0</v>
      </c>
      <c r="K155" s="7">
        <f>Compositions_Master!V53</f>
        <v>0</v>
      </c>
    </row>
    <row r="156" spans="1:11">
      <c r="A156" s="23">
        <v>47</v>
      </c>
      <c r="B156" s="24" t="s">
        <v>187</v>
      </c>
      <c r="C156" s="25" t="s">
        <v>188</v>
      </c>
      <c r="D156" s="7">
        <f>Compositions_Master!H54</f>
        <v>0</v>
      </c>
      <c r="E156" s="7">
        <f>Compositions_Master!J54</f>
        <v>0</v>
      </c>
      <c r="F156" s="7">
        <f>Compositions_Master!L54</f>
        <v>0</v>
      </c>
      <c r="G156" s="7">
        <f>Compositions_Master!N54</f>
        <v>0</v>
      </c>
      <c r="H156" s="7">
        <f>Compositions_Master!P54</f>
        <v>0</v>
      </c>
      <c r="I156" s="7">
        <f>Compositions_Master!R54</f>
        <v>0</v>
      </c>
      <c r="J156" s="7">
        <f>Compositions_Master!T54</f>
        <v>0</v>
      </c>
      <c r="K156" s="7">
        <f>Compositions_Master!V54</f>
        <v>0</v>
      </c>
    </row>
    <row r="157" spans="1:11">
      <c r="A157" s="23">
        <v>48</v>
      </c>
      <c r="B157" s="24" t="s">
        <v>189</v>
      </c>
      <c r="C157" s="25" t="s">
        <v>190</v>
      </c>
      <c r="D157" s="7">
        <f>Compositions_Master!H55</f>
        <v>0</v>
      </c>
      <c r="E157" s="7">
        <f>Compositions_Master!J55</f>
        <v>0</v>
      </c>
      <c r="F157" s="7">
        <f>Compositions_Master!L55</f>
        <v>0</v>
      </c>
      <c r="G157" s="7">
        <f>Compositions_Master!N55</f>
        <v>0</v>
      </c>
      <c r="H157" s="7">
        <f>Compositions_Master!P55</f>
        <v>0</v>
      </c>
      <c r="I157" s="7">
        <f>Compositions_Master!R55</f>
        <v>0</v>
      </c>
      <c r="J157" s="7">
        <f>Compositions_Master!T55</f>
        <v>0</v>
      </c>
      <c r="K157" s="7">
        <f>Compositions_Master!V55</f>
        <v>0</v>
      </c>
    </row>
    <row r="158" spans="1:11">
      <c r="A158" s="23">
        <v>49</v>
      </c>
      <c r="B158" s="24" t="s">
        <v>191</v>
      </c>
      <c r="C158" s="25" t="s">
        <v>192</v>
      </c>
      <c r="D158" s="7">
        <f>Compositions_Master!H56</f>
        <v>0</v>
      </c>
      <c r="E158" s="7">
        <f>Compositions_Master!J56</f>
        <v>0</v>
      </c>
      <c r="F158" s="7">
        <f>Compositions_Master!L56</f>
        <v>0</v>
      </c>
      <c r="G158" s="7">
        <f>Compositions_Master!N56</f>
        <v>0</v>
      </c>
      <c r="H158" s="7">
        <f>Compositions_Master!P56</f>
        <v>0</v>
      </c>
      <c r="I158" s="7">
        <f>Compositions_Master!R56</f>
        <v>0</v>
      </c>
      <c r="J158" s="7">
        <f>Compositions_Master!T56</f>
        <v>0</v>
      </c>
      <c r="K158" s="7">
        <f>Compositions_Master!V56</f>
        <v>0</v>
      </c>
    </row>
    <row r="159" spans="1:11">
      <c r="A159" s="23">
        <v>50</v>
      </c>
      <c r="B159" s="24" t="s">
        <v>193</v>
      </c>
      <c r="C159" s="25" t="s">
        <v>194</v>
      </c>
      <c r="D159" s="7">
        <f>Compositions_Master!H57</f>
        <v>0</v>
      </c>
      <c r="E159" s="7">
        <f>Compositions_Master!J57</f>
        <v>0</v>
      </c>
      <c r="F159" s="7">
        <f>Compositions_Master!L57</f>
        <v>0</v>
      </c>
      <c r="G159" s="7">
        <f>Compositions_Master!N57</f>
        <v>0</v>
      </c>
      <c r="H159" s="7">
        <f>Compositions_Master!P57</f>
        <v>0</v>
      </c>
      <c r="I159" s="7">
        <f>Compositions_Master!R57</f>
        <v>0</v>
      </c>
      <c r="J159" s="7">
        <f>Compositions_Master!T57</f>
        <v>0</v>
      </c>
      <c r="K159" s="7">
        <f>Compositions_Master!V57</f>
        <v>0</v>
      </c>
    </row>
    <row r="160" spans="1:11">
      <c r="A160" s="23">
        <v>51</v>
      </c>
      <c r="B160" s="24" t="s">
        <v>195</v>
      </c>
      <c r="C160" s="25" t="s">
        <v>196</v>
      </c>
      <c r="D160" s="7">
        <f>Compositions_Master!H58</f>
        <v>0</v>
      </c>
      <c r="E160" s="7">
        <f>Compositions_Master!J58</f>
        <v>0</v>
      </c>
      <c r="F160" s="7">
        <f>Compositions_Master!L58</f>
        <v>0</v>
      </c>
      <c r="G160" s="7">
        <f>Compositions_Master!N58</f>
        <v>0</v>
      </c>
      <c r="H160" s="7">
        <f>Compositions_Master!P58</f>
        <v>0</v>
      </c>
      <c r="I160" s="7">
        <f>Compositions_Master!R58</f>
        <v>0</v>
      </c>
      <c r="J160" s="7">
        <f>Compositions_Master!T58</f>
        <v>0</v>
      </c>
      <c r="K160" s="7">
        <f>Compositions_Master!V58</f>
        <v>0</v>
      </c>
    </row>
    <row r="161" spans="1:13">
      <c r="A161" s="23">
        <v>52</v>
      </c>
      <c r="B161" s="24" t="s">
        <v>197</v>
      </c>
      <c r="C161" s="25" t="s">
        <v>198</v>
      </c>
      <c r="D161" s="7">
        <f>Compositions_Master!H59</f>
        <v>0</v>
      </c>
      <c r="E161" s="7">
        <f>Compositions_Master!J59</f>
        <v>0</v>
      </c>
      <c r="F161" s="7">
        <f>Compositions_Master!L59</f>
        <v>0</v>
      </c>
      <c r="G161" s="7">
        <f>Compositions_Master!N59</f>
        <v>0</v>
      </c>
      <c r="H161" s="7">
        <f>Compositions_Master!P59</f>
        <v>0</v>
      </c>
      <c r="I161" s="7">
        <f>Compositions_Master!R59</f>
        <v>0</v>
      </c>
      <c r="J161" s="7">
        <f>Compositions_Master!T59</f>
        <v>0</v>
      </c>
      <c r="K161" s="7">
        <f>Compositions_Master!V59</f>
        <v>0</v>
      </c>
    </row>
    <row r="162" spans="1:13">
      <c r="B162" s="28" t="s">
        <v>219</v>
      </c>
      <c r="D162" s="29">
        <f>SUM(D110:D161)</f>
        <v>100</v>
      </c>
      <c r="E162" s="29">
        <f>SUM(E110:E161)</f>
        <v>100</v>
      </c>
      <c r="F162" s="29">
        <f>SUM(F110:F161)</f>
        <v>99.999999999999986</v>
      </c>
      <c r="G162" s="29">
        <f>SUM(G110:G161)</f>
        <v>100.00000000000001</v>
      </c>
      <c r="H162" s="29">
        <f>SUM(H110:H161)</f>
        <v>99.999999999999986</v>
      </c>
      <c r="I162" s="29">
        <f>SUM(I110:I161)</f>
        <v>99.999999999999972</v>
      </c>
      <c r="J162" s="29">
        <f>SUM(J110:J161)</f>
        <v>0</v>
      </c>
      <c r="K162" s="29">
        <f>SUM(K110:K161)</f>
        <v>0</v>
      </c>
    </row>
    <row r="164" spans="1:13" ht="21.95" customHeight="1">
      <c r="A164" s="43" t="s">
        <v>355</v>
      </c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 spans="1:13">
      <c r="B165" s="16" t="s">
        <v>356</v>
      </c>
      <c r="C165" s="48" t="s">
        <v>203</v>
      </c>
      <c r="D165" s="57"/>
      <c r="E165" s="57"/>
      <c r="F165" s="48" t="s">
        <v>212</v>
      </c>
      <c r="G165" s="57"/>
      <c r="H165" s="57"/>
    </row>
    <row r="166" spans="1:13" ht="26.1" customHeight="1">
      <c r="C166" s="16" t="s">
        <v>217</v>
      </c>
      <c r="D166" s="16" t="s">
        <v>91</v>
      </c>
      <c r="E166" s="16" t="s">
        <v>357</v>
      </c>
      <c r="F166" s="16" t="s">
        <v>217</v>
      </c>
      <c r="G166" s="16" t="s">
        <v>91</v>
      </c>
      <c r="H166" s="16" t="s">
        <v>357</v>
      </c>
    </row>
    <row r="167" spans="1:13">
      <c r="B167" s="28" t="s">
        <v>358</v>
      </c>
      <c r="C167" s="21">
        <f>SUM(Compositions_Master!F24:F59)</f>
        <v>0</v>
      </c>
      <c r="D167" s="11">
        <f>IF(SUM(Compositions_Master!F24:F59)=0,0,SUMPRODUCT(Compositions_Master!D24:D59,Compositions_Master!F24:F59)/SUM(Compositions_Master!F24:F59))</f>
        <v>0</v>
      </c>
      <c r="E167" s="12">
        <f>IF(SUMPRODUCT(Compositions_Master!G24:G59,1/Compositions_Master!E24:E59)=0,0,SUM(Compositions_Master!G24:G59)/SUMPRODUCT(Compositions_Master!G24:G59,1/Compositions_Master!E24:E59))</f>
        <v>0</v>
      </c>
      <c r="F167" s="21">
        <f>SUM(Compositions_Master!X24:X59)</f>
        <v>92.800000000000011</v>
      </c>
      <c r="G167" s="11">
        <f>IF(SUM(Compositions_Master!X24:X59)=0,0,SUMPRODUCT(Compositions_Master!D24:D59,Compositions_Master!X24:X59)/SUM(Compositions_Master!X24:X59))</f>
        <v>230.42789633620689</v>
      </c>
      <c r="H167" s="12">
        <f>IF(SUMPRODUCT(Compositions_Master!Y24:Y59,1/Compositions_Master!E24:E59)=0,0,SUM(Compositions_Master!Y24:Y59)/SUMPRODUCT(Compositions_Master!Y24:Y59,1/Compositions_Master!E24:E59))</f>
        <v>0.85002257949521587</v>
      </c>
    </row>
    <row r="168" spans="1:13">
      <c r="B168" s="28" t="s">
        <v>359</v>
      </c>
      <c r="C168" s="21">
        <f>SUM(Compositions_Master!F34:F59)</f>
        <v>0</v>
      </c>
      <c r="D168" s="11">
        <f>IF(SUM(Compositions_Master!F34:F59)=0,0,SUMPRODUCT(Compositions_Master!D34:D59,Compositions_Master!F34:F59)/SUM(Compositions_Master!F34:F59))</f>
        <v>0</v>
      </c>
      <c r="E168" s="12">
        <f>IF(SUMPRODUCT(Compositions_Master!G34:G59,1/Compositions_Master!E34:E59)=0,0,SUM(Compositions_Master!G34:G59)/SUMPRODUCT(Compositions_Master!G34:G59,1/Compositions_Master!E34:E59))</f>
        <v>0</v>
      </c>
      <c r="F168" s="21">
        <f>SUM(Compositions_Master!X34:X59)</f>
        <v>61.92</v>
      </c>
      <c r="G168" s="11">
        <f>IF(SUM(Compositions_Master!X34:X59)=0,0,SUMPRODUCT(Compositions_Master!D34:D59,Compositions_Master!X34:X59)/SUM(Compositions_Master!X34:X59))</f>
        <v>285.94018087855301</v>
      </c>
      <c r="H168" s="12">
        <f>IF(SUMPRODUCT(Compositions_Master!Y34:Y59,1/Compositions_Master!E34:E59)=0,0,SUM(Compositions_Master!Y34:Y59)/SUMPRODUCT(Compositions_Master!Y34:Y59,1/Compositions_Master!E34:E59))</f>
        <v>0.86902314264335789</v>
      </c>
    </row>
    <row r="169" spans="1:13">
      <c r="B169" s="28" t="s">
        <v>360</v>
      </c>
      <c r="C169" s="21">
        <f>SUM(Compositions_Master!F43:F59)</f>
        <v>0</v>
      </c>
      <c r="D169" s="11">
        <f>IF(SUM(Compositions_Master!F43:F59)=0,0,SUMPRODUCT(Compositions_Master!D43:D59,Compositions_Master!F43:F59)/SUM(Compositions_Master!F43:F59))</f>
        <v>0</v>
      </c>
      <c r="E169" s="12">
        <f>IF(SUMPRODUCT(Compositions_Master!G43:G59,1/Compositions_Master!E43:E59)=0,0,SUM(Compositions_Master!G43:G59)/SUMPRODUCT(Compositions_Master!G43:G59,1/Compositions_Master!E43:E59))</f>
        <v>0</v>
      </c>
      <c r="F169" s="21">
        <f>SUM(Compositions_Master!X43:X59)</f>
        <v>23.3</v>
      </c>
      <c r="G169" s="11">
        <f>IF(SUM(Compositions_Master!X43:X59)=0,0,SUMPRODUCT(Compositions_Master!D43:D59,Compositions_Master!X43:X59)/SUM(Compositions_Master!X43:X59))</f>
        <v>428.90798283261802</v>
      </c>
      <c r="H169" s="12">
        <f>IF(SUMPRODUCT(Compositions_Master!Y43:Y59,1/Compositions_Master!E43:E59)=0,0,SUM(Compositions_Master!Y43:Y59)/SUMPRODUCT(Compositions_Master!Y43:Y59,1/Compositions_Master!E43:E59))</f>
        <v>0.90675369028176678</v>
      </c>
    </row>
    <row r="170" spans="1:13">
      <c r="B170" s="28" t="s">
        <v>197</v>
      </c>
      <c r="C170" s="21">
        <f>SUM(Compositions_Master!F59:F59)</f>
        <v>0</v>
      </c>
      <c r="D170" s="11">
        <f>IF(SUM(Compositions_Master!F59:F59)=0,0,SUMPRODUCT(Compositions_Master!D59:D59,Compositions_Master!F59:F59)/SUM(Compositions_Master!F59:F59))</f>
        <v>0</v>
      </c>
      <c r="E170" s="12">
        <f>IF(SUMPRODUCT(Compositions_Master!G59:G59,1/Compositions_Master!E59:E59)=0,0,SUM(Compositions_Master!G59:G59)/SUMPRODUCT(Compositions_Master!G59:G59,1/Compositions_Master!E59:E59))</f>
        <v>0</v>
      </c>
      <c r="F170" s="21">
        <f>SUM(Compositions_Master!X59:X59)</f>
        <v>5.94</v>
      </c>
      <c r="G170" s="11">
        <f>IF(SUM(Compositions_Master!X59:X59)=0,0,SUMPRODUCT(Compositions_Master!D59:D59,Compositions_Master!X59:X59)/SUM(Compositions_Master!X59:X59))</f>
        <v>636.4</v>
      </c>
      <c r="H170" s="12">
        <f>IF(SUMPRODUCT(Compositions_Master!Y59:Y59,1/Compositions_Master!E59:E59)=0,0,SUM(Compositions_Master!Y59:Y59)/SUMPRODUCT(Compositions_Master!Y59:Y59,1/Compositions_Master!E59:E59))</f>
        <v>0.94</v>
      </c>
    </row>
    <row r="173" spans="1:13" ht="21.95" customHeight="1">
      <c r="A173" s="43" t="s">
        <v>361</v>
      </c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 spans="1:13">
      <c r="B174" s="1" t="s">
        <v>362</v>
      </c>
      <c r="D174" s="11">
        <f>Compositions_Master!F64</f>
        <v>0</v>
      </c>
      <c r="F174" s="1" t="s">
        <v>363</v>
      </c>
      <c r="H174" s="11">
        <f>Compositions_Master!X64</f>
        <v>219.62955349999996</v>
      </c>
    </row>
    <row r="175" spans="1:13">
      <c r="B175" s="1" t="s">
        <v>364</v>
      </c>
      <c r="D175" s="12">
        <f>Compositions_Master!F66</f>
        <v>0</v>
      </c>
      <c r="F175" s="1" t="s">
        <v>365</v>
      </c>
      <c r="H175" s="12">
        <f>Sample_Info!B16</f>
        <v>0.84789999999999999</v>
      </c>
    </row>
    <row r="176" spans="1:13">
      <c r="B176" s="1" t="s">
        <v>366</v>
      </c>
      <c r="D176" s="20">
        <f>Sample_Info!E15</f>
        <v>35.43</v>
      </c>
      <c r="F176" s="1" t="s">
        <v>367</v>
      </c>
      <c r="H176" s="21">
        <f>Compositions_Master!F67</f>
        <v>0</v>
      </c>
    </row>
    <row r="178" spans="1:13" ht="21.95" customHeight="1">
      <c r="A178" s="43" t="s">
        <v>368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 spans="1:13" ht="18" customHeight="1">
      <c r="A179" s="53" t="s">
        <v>369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 spans="1:13" ht="18" customHeight="1">
      <c r="A180" s="53" t="s">
        <v>370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 spans="1:13" ht="18" customHeight="1">
      <c r="A181" s="53" t="s">
        <v>371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 spans="1:13" ht="18" customHeight="1">
      <c r="A182" s="53" t="s">
        <v>372</v>
      </c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 spans="1:13" ht="18" customHeight="1">
      <c r="A183" s="53" t="s">
        <v>373</v>
      </c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5" spans="1:13" ht="21.95" customHeight="1">
      <c r="A185" s="43" t="s">
        <v>374</v>
      </c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 spans="1:13">
      <c r="B186" s="1" t="s">
        <v>375</v>
      </c>
      <c r="D186" s="18">
        <v>80</v>
      </c>
      <c r="F186" s="1" t="s">
        <v>376</v>
      </c>
      <c r="H186" s="18">
        <v>105</v>
      </c>
    </row>
    <row r="187" spans="1:13">
      <c r="B187" s="1" t="s">
        <v>377</v>
      </c>
      <c r="D187" s="18">
        <v>15</v>
      </c>
      <c r="F187" s="1" t="s">
        <v>378</v>
      </c>
      <c r="H187" s="18">
        <v>60</v>
      </c>
    </row>
  </sheetData>
  <mergeCells count="19">
    <mergeCell ref="A1:M1"/>
    <mergeCell ref="A178:M178"/>
    <mergeCell ref="A183:M183"/>
    <mergeCell ref="A164:M164"/>
    <mergeCell ref="A179:M179"/>
    <mergeCell ref="A2:M2"/>
    <mergeCell ref="A185:M185"/>
    <mergeCell ref="A181:M181"/>
    <mergeCell ref="A4:M4"/>
    <mergeCell ref="A180:M180"/>
    <mergeCell ref="A38:M38"/>
    <mergeCell ref="F165:H165"/>
    <mergeCell ref="A173:M173"/>
    <mergeCell ref="A9:M9"/>
    <mergeCell ref="A39:M39"/>
    <mergeCell ref="A182:M182"/>
    <mergeCell ref="A51:M51"/>
    <mergeCell ref="A107:M107"/>
    <mergeCell ref="C165:E16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e266792-ae03-4879-9932-a7c64187f787}" enabled="1" method="Standard" siteId="{74892fe7-b6cb-43e7-912b-52194d3fd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Athif (ADNOC Technology)</dc:creator>
  <cp:keywords/>
  <dc:description/>
  <cp:lastModifiedBy/>
  <cp:revision/>
  <dcterms:created xsi:type="dcterms:W3CDTF">2026-07-05T07:37:04Z</dcterms:created>
  <dcterms:modified xsi:type="dcterms:W3CDTF">2026-07-05T07:42:00Z</dcterms:modified>
  <cp:category/>
  <cp:contentStatus/>
</cp:coreProperties>
</file>